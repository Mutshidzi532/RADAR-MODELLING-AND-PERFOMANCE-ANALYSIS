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shidzi madavha\Downloads\"/>
    </mc:Choice>
  </mc:AlternateContent>
  <bookViews>
    <workbookView xWindow="0" yWindow="0" windowWidth="20490" windowHeight="7620" firstSheet="10" activeTab="10"/>
  </bookViews>
  <sheets>
    <sheet name="Radar Inputs" sheetId="1" r:id="rId1"/>
    <sheet name="Range Simulation" sheetId="2" r:id="rId2"/>
    <sheet name="Perfomance Analysis" sheetId="3" r:id="rId3"/>
    <sheet name="Noise Sensitivity" sheetId="4" r:id="rId4"/>
    <sheet name="Signal Detection" sheetId="5" r:id="rId5"/>
    <sheet name="Detection Optimisation" sheetId="6" r:id="rId6"/>
    <sheet name="Radar Range Power" sheetId="7" r:id="rId7"/>
    <sheet name="Integrated Radar Model" sheetId="8" r:id="rId8"/>
    <sheet name="Integrated Noise Simulation" sheetId="9" r:id="rId9"/>
    <sheet name="Integrated Noise Analysis" sheetId="10" r:id="rId10"/>
    <sheet name="Radar Perfomance Summary" sheetId="11" r:id="rId11"/>
    <sheet name="Scenario Comparison" sheetId="12" r:id="rId12"/>
    <sheet name="Radar Model Validation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3" l="1"/>
  <c r="D7" i="13"/>
  <c r="E6" i="13"/>
  <c r="D6" i="13"/>
  <c r="E5" i="13"/>
  <c r="D5" i="13"/>
  <c r="E4" i="13"/>
  <c r="D4" i="13"/>
  <c r="E3" i="13"/>
  <c r="D3" i="13"/>
  <c r="E2" i="13"/>
  <c r="D2" i="13"/>
  <c r="H3" i="12"/>
  <c r="H4" i="12"/>
  <c r="G3" i="12"/>
  <c r="G4" i="12"/>
  <c r="H2" i="12"/>
  <c r="G2" i="12"/>
  <c r="F3" i="12"/>
  <c r="F4" i="12"/>
  <c r="F2" i="12"/>
  <c r="E3" i="12"/>
  <c r="E4" i="12"/>
  <c r="E2" i="12"/>
  <c r="D3" i="12"/>
  <c r="D4" i="12"/>
  <c r="D2" i="12"/>
  <c r="C3" i="12"/>
  <c r="C4" i="12"/>
  <c r="C2" i="12"/>
  <c r="B2" i="11" l="1"/>
  <c r="B2" i="10"/>
  <c r="J3" i="9" l="1"/>
  <c r="J4" i="9"/>
  <c r="J5" i="9"/>
  <c r="J6" i="9"/>
  <c r="J7" i="9"/>
  <c r="J8" i="9"/>
  <c r="J9" i="9"/>
  <c r="J10" i="9"/>
  <c r="J11" i="9"/>
  <c r="D3" i="9"/>
  <c r="E3" i="9" s="1"/>
  <c r="F3" i="9" s="1"/>
  <c r="G3" i="9" s="1"/>
  <c r="D4" i="9"/>
  <c r="E4" i="9" s="1"/>
  <c r="F4" i="9" s="1"/>
  <c r="G4" i="9" s="1"/>
  <c r="D5" i="9"/>
  <c r="E5" i="9" s="1"/>
  <c r="F5" i="9" s="1"/>
  <c r="G5" i="9" s="1"/>
  <c r="D6" i="9"/>
  <c r="E6" i="9" s="1"/>
  <c r="F6" i="9" s="1"/>
  <c r="G6" i="9" s="1"/>
  <c r="D7" i="9"/>
  <c r="E7" i="9" s="1"/>
  <c r="F7" i="9" s="1"/>
  <c r="G7" i="9" s="1"/>
  <c r="D8" i="9"/>
  <c r="E8" i="9" s="1"/>
  <c r="F8" i="9" s="1"/>
  <c r="G8" i="9" s="1"/>
  <c r="D9" i="9"/>
  <c r="E9" i="9" s="1"/>
  <c r="F9" i="9" s="1"/>
  <c r="G9" i="9" s="1"/>
  <c r="D10" i="9"/>
  <c r="E10" i="9" s="1"/>
  <c r="F10" i="9" s="1"/>
  <c r="G10" i="9" s="1"/>
  <c r="D11" i="9"/>
  <c r="E11" i="9" s="1"/>
  <c r="F11" i="9" s="1"/>
  <c r="G11" i="9" s="1"/>
  <c r="C3" i="9"/>
  <c r="C4" i="9"/>
  <c r="C5" i="9"/>
  <c r="C6" i="9"/>
  <c r="C7" i="9"/>
  <c r="C8" i="9"/>
  <c r="C9" i="9"/>
  <c r="C10" i="9"/>
  <c r="C11" i="9"/>
  <c r="B3" i="9"/>
  <c r="B4" i="9"/>
  <c r="B5" i="9"/>
  <c r="B6" i="9"/>
  <c r="B7" i="9"/>
  <c r="B8" i="9"/>
  <c r="B9" i="9"/>
  <c r="B10" i="9"/>
  <c r="B11" i="9"/>
  <c r="A3" i="9"/>
  <c r="A4" i="9"/>
  <c r="A5" i="9"/>
  <c r="A6" i="9"/>
  <c r="A7" i="9"/>
  <c r="A8" i="9"/>
  <c r="A9" i="9"/>
  <c r="A10" i="9"/>
  <c r="A11" i="9"/>
  <c r="J2" i="9"/>
  <c r="D2" i="9"/>
  <c r="E2" i="9" s="1"/>
  <c r="C2" i="9"/>
  <c r="B2" i="9"/>
  <c r="A2" i="9"/>
  <c r="G3" i="8"/>
  <c r="G4" i="8"/>
  <c r="G5" i="8"/>
  <c r="G6" i="8"/>
  <c r="G7" i="8"/>
  <c r="G8" i="8"/>
  <c r="G9" i="8"/>
  <c r="G10" i="8"/>
  <c r="G11" i="8"/>
  <c r="G2" i="8"/>
  <c r="F3" i="8"/>
  <c r="F4" i="8"/>
  <c r="F5" i="8"/>
  <c r="F6" i="8"/>
  <c r="F7" i="8"/>
  <c r="F8" i="8"/>
  <c r="F9" i="8"/>
  <c r="F10" i="8"/>
  <c r="F11" i="8"/>
  <c r="F2" i="8"/>
  <c r="E3" i="8"/>
  <c r="E4" i="8"/>
  <c r="E5" i="8"/>
  <c r="E6" i="8"/>
  <c r="E7" i="8"/>
  <c r="E8" i="8"/>
  <c r="E9" i="8"/>
  <c r="E10" i="8"/>
  <c r="E11" i="8"/>
  <c r="E2" i="8"/>
  <c r="D3" i="8"/>
  <c r="D4" i="8"/>
  <c r="D5" i="8"/>
  <c r="D6" i="8"/>
  <c r="D7" i="8"/>
  <c r="D8" i="8"/>
  <c r="D9" i="8"/>
  <c r="D10" i="8"/>
  <c r="D11" i="8"/>
  <c r="D2" i="8"/>
  <c r="C3" i="8"/>
  <c r="C4" i="8"/>
  <c r="C5" i="8"/>
  <c r="C6" i="8"/>
  <c r="C7" i="8"/>
  <c r="C8" i="8"/>
  <c r="C9" i="8"/>
  <c r="C10" i="8"/>
  <c r="C11" i="8"/>
  <c r="C2" i="8"/>
  <c r="H2" i="8" s="1"/>
  <c r="B3" i="8"/>
  <c r="B4" i="8"/>
  <c r="B5" i="8"/>
  <c r="B6" i="8"/>
  <c r="B7" i="8"/>
  <c r="B8" i="8"/>
  <c r="B9" i="8"/>
  <c r="B10" i="8"/>
  <c r="B11" i="8"/>
  <c r="B2" i="8"/>
  <c r="H3" i="8"/>
  <c r="H4" i="8"/>
  <c r="H5" i="8"/>
  <c r="H6" i="8"/>
  <c r="H7" i="8"/>
  <c r="H8" i="8"/>
  <c r="H9" i="8"/>
  <c r="H10" i="8"/>
  <c r="H11" i="8"/>
  <c r="B10" i="11" l="1"/>
  <c r="B9" i="11"/>
  <c r="B3" i="11"/>
  <c r="B10" i="10"/>
  <c r="B9" i="10"/>
  <c r="F2" i="9"/>
  <c r="B7" i="11" s="1"/>
  <c r="B3" i="10"/>
  <c r="H10" i="9"/>
  <c r="I10" i="9" s="1"/>
  <c r="K10" i="9" s="1"/>
  <c r="H6" i="9"/>
  <c r="I6" i="9" s="1"/>
  <c r="K6" i="9" s="1"/>
  <c r="H9" i="9"/>
  <c r="I9" i="9" s="1"/>
  <c r="K9" i="9" s="1"/>
  <c r="H5" i="9"/>
  <c r="I5" i="9" s="1"/>
  <c r="K5" i="9" s="1"/>
  <c r="H8" i="9"/>
  <c r="I8" i="9" s="1"/>
  <c r="K8" i="9" s="1"/>
  <c r="H4" i="9"/>
  <c r="I4" i="9" s="1"/>
  <c r="K4" i="9" s="1"/>
  <c r="H11" i="9"/>
  <c r="I11" i="9" s="1"/>
  <c r="K11" i="9" s="1"/>
  <c r="H7" i="9"/>
  <c r="I7" i="9" s="1"/>
  <c r="K7" i="9" s="1"/>
  <c r="H3" i="9"/>
  <c r="I3" i="9" s="1"/>
  <c r="K3" i="9" s="1"/>
  <c r="H2" i="9"/>
  <c r="I2" i="9" s="1"/>
  <c r="K2" i="9" s="1"/>
  <c r="F3" i="7"/>
  <c r="F4" i="7"/>
  <c r="F5" i="7"/>
  <c r="F6" i="7"/>
  <c r="F7" i="7"/>
  <c r="F8" i="7"/>
  <c r="F9" i="7"/>
  <c r="E3" i="7"/>
  <c r="E4" i="7"/>
  <c r="E5" i="7"/>
  <c r="E6" i="7"/>
  <c r="E7" i="7"/>
  <c r="E8" i="7"/>
  <c r="E9" i="7"/>
  <c r="D3" i="7"/>
  <c r="D4" i="7"/>
  <c r="D5" i="7"/>
  <c r="D6" i="7"/>
  <c r="D7" i="7"/>
  <c r="D8" i="7"/>
  <c r="D9" i="7"/>
  <c r="C3" i="7"/>
  <c r="C4" i="7"/>
  <c r="C5" i="7"/>
  <c r="C6" i="7"/>
  <c r="C7" i="7"/>
  <c r="C8" i="7"/>
  <c r="C9" i="7"/>
  <c r="B3" i="7"/>
  <c r="B4" i="7"/>
  <c r="B5" i="7"/>
  <c r="B6" i="7"/>
  <c r="B7" i="7"/>
  <c r="B8" i="7"/>
  <c r="B9" i="7"/>
  <c r="F2" i="7"/>
  <c r="E2" i="7"/>
  <c r="D2" i="7"/>
  <c r="C2" i="7"/>
  <c r="B2" i="7"/>
  <c r="B12" i="11" l="1"/>
  <c r="B11" i="11"/>
  <c r="B4" i="11"/>
  <c r="B6" i="11"/>
  <c r="B11" i="10"/>
  <c r="B12" i="10"/>
  <c r="B6" i="10"/>
  <c r="B7" i="10"/>
  <c r="G2" i="9"/>
  <c r="B4" i="10"/>
  <c r="D3" i="6"/>
  <c r="D4" i="6"/>
  <c r="D5" i="6"/>
  <c r="D6" i="6"/>
  <c r="E6" i="6" s="1"/>
  <c r="G6" i="6" s="1"/>
  <c r="E3" i="6"/>
  <c r="E4" i="6"/>
  <c r="E5" i="6"/>
  <c r="G3" i="6"/>
  <c r="G4" i="6"/>
  <c r="G5" i="6"/>
  <c r="G2" i="6"/>
  <c r="E2" i="6"/>
  <c r="D2" i="6"/>
  <c r="G3" i="5"/>
  <c r="G4" i="5"/>
  <c r="G5" i="5"/>
  <c r="E3" i="5"/>
  <c r="E4" i="5"/>
  <c r="E5" i="5"/>
  <c r="D3" i="5"/>
  <c r="D4" i="5"/>
  <c r="D5" i="5"/>
  <c r="G2" i="5"/>
  <c r="E2" i="5"/>
  <c r="D2" i="5"/>
  <c r="C3" i="4"/>
  <c r="C4" i="4"/>
  <c r="C2" i="4"/>
  <c r="B5" i="11" l="1"/>
  <c r="B8" i="11"/>
  <c r="B5" i="10"/>
  <c r="B8" i="10"/>
  <c r="E3" i="2"/>
  <c r="F3" i="2" s="1"/>
  <c r="E4" i="2"/>
  <c r="F4" i="2" s="1"/>
  <c r="E5" i="2"/>
  <c r="F5" i="2" s="1"/>
  <c r="G5" i="2" s="1"/>
  <c r="E6" i="2"/>
  <c r="F6" i="2" s="1"/>
  <c r="G6" i="2" s="1"/>
  <c r="H6" i="2" s="1"/>
  <c r="E7" i="2"/>
  <c r="F7" i="2" s="1"/>
  <c r="G7" i="2" s="1"/>
  <c r="H7" i="2" s="1"/>
  <c r="E8" i="2"/>
  <c r="F8" i="2" s="1"/>
  <c r="G8" i="2" s="1"/>
  <c r="H8" i="2" s="1"/>
  <c r="E9" i="2"/>
  <c r="F9" i="2" s="1"/>
  <c r="G9" i="2" s="1"/>
  <c r="H9" i="2" s="1"/>
  <c r="E10" i="2"/>
  <c r="F10" i="2" s="1"/>
  <c r="G10" i="2" s="1"/>
  <c r="H10" i="2" s="1"/>
  <c r="E11" i="2"/>
  <c r="F11" i="2" s="1"/>
  <c r="G11" i="2" s="1"/>
  <c r="H11" i="2" s="1"/>
  <c r="E2" i="2"/>
  <c r="F2" i="2" s="1"/>
  <c r="B2" i="3"/>
  <c r="D3" i="2"/>
  <c r="D4" i="2"/>
  <c r="D5" i="2"/>
  <c r="D6" i="2"/>
  <c r="D7" i="2"/>
  <c r="D8" i="2"/>
  <c r="D9" i="2"/>
  <c r="D10" i="2"/>
  <c r="D11" i="2"/>
  <c r="C3" i="2"/>
  <c r="C4" i="2"/>
  <c r="C5" i="2"/>
  <c r="C6" i="2"/>
  <c r="C7" i="2"/>
  <c r="C8" i="2"/>
  <c r="C9" i="2"/>
  <c r="C10" i="2"/>
  <c r="C11" i="2"/>
  <c r="B3" i="2"/>
  <c r="B4" i="2"/>
  <c r="B5" i="2"/>
  <c r="B6" i="2"/>
  <c r="B7" i="2"/>
  <c r="B8" i="2"/>
  <c r="B9" i="2"/>
  <c r="B10" i="2"/>
  <c r="B11" i="2"/>
  <c r="A3" i="2"/>
  <c r="A4" i="2"/>
  <c r="A5" i="2"/>
  <c r="A6" i="2"/>
  <c r="A7" i="2"/>
  <c r="A8" i="2"/>
  <c r="A9" i="2"/>
  <c r="A10" i="2"/>
  <c r="A11" i="2"/>
  <c r="A2" i="2"/>
  <c r="D2" i="2"/>
  <c r="C2" i="2"/>
  <c r="B2" i="2"/>
  <c r="H5" i="2" l="1"/>
  <c r="G4" i="2"/>
  <c r="G4" i="4" s="1"/>
  <c r="D4" i="4"/>
  <c r="G3" i="2"/>
  <c r="D3" i="4"/>
  <c r="D2" i="4"/>
  <c r="B7" i="3"/>
  <c r="B8" i="3"/>
  <c r="G2" i="2"/>
  <c r="B3" i="3"/>
  <c r="G3" i="4" l="1"/>
  <c r="H3" i="2"/>
  <c r="F3" i="4"/>
  <c r="H4" i="2"/>
  <c r="E4" i="4" s="1"/>
  <c r="F4" i="4"/>
  <c r="F2" i="4"/>
  <c r="G2" i="4"/>
  <c r="B9" i="3"/>
  <c r="B10" i="3"/>
  <c r="B4" i="3"/>
  <c r="H2" i="2"/>
  <c r="E3" i="4" l="1"/>
  <c r="B11" i="3"/>
  <c r="E2" i="4"/>
  <c r="B6" i="3"/>
  <c r="B5" i="3"/>
</calcChain>
</file>

<file path=xl/sharedStrings.xml><?xml version="1.0" encoding="utf-8"?>
<sst xmlns="http://schemas.openxmlformats.org/spreadsheetml/2006/main" count="199" uniqueCount="125">
  <si>
    <t>Parameter</t>
  </si>
  <si>
    <t>Value</t>
  </si>
  <si>
    <t>Unit</t>
  </si>
  <si>
    <t>Speed of Light</t>
  </si>
  <si>
    <t>m/s</t>
  </si>
  <si>
    <t>Actual Target Distance</t>
  </si>
  <si>
    <t>m</t>
  </si>
  <si>
    <t>us</t>
  </si>
  <si>
    <t>Number of Measurements</t>
  </si>
  <si>
    <t>samples</t>
  </si>
  <si>
    <t>Measurement</t>
  </si>
  <si>
    <t>Actual Distance(m)</t>
  </si>
  <si>
    <t>Round Trip Time(s)</t>
  </si>
  <si>
    <t>Round Trip Time(us)</t>
  </si>
  <si>
    <t>Measured Time(us)</t>
  </si>
  <si>
    <t>Estimated Distance(m)</t>
  </si>
  <si>
    <t>Estimation Error(m)</t>
  </si>
  <si>
    <t>Absolute Error(m)</t>
  </si>
  <si>
    <t>Perfomance Metric</t>
  </si>
  <si>
    <t>Result</t>
  </si>
  <si>
    <t>Average Estimated Distance</t>
  </si>
  <si>
    <t>Average Signed Error</t>
  </si>
  <si>
    <t>Mean Absolute Error</t>
  </si>
  <si>
    <t>Maximum Absolute Error</t>
  </si>
  <si>
    <t>Minimum Estimated Distance</t>
  </si>
  <si>
    <t>Maximum Estimated Distance</t>
  </si>
  <si>
    <t>Timing Noise Standard Deviation</t>
  </si>
  <si>
    <t>Root Mean Square Error</t>
  </si>
  <si>
    <t>Standard Deviation of Esimation Errors</t>
  </si>
  <si>
    <t>Mean Absolute Percentage Error</t>
  </si>
  <si>
    <t>%</t>
  </si>
  <si>
    <t>Experiment</t>
  </si>
  <si>
    <t>Timing Noise Std Dev(us)</t>
  </si>
  <si>
    <t>Theoeretical Range Error Std Dev(m)</t>
  </si>
  <si>
    <t>Mean Estimated Distance(m)</t>
  </si>
  <si>
    <t>Mean Absolute Error(m)</t>
  </si>
  <si>
    <t>RMSE(m)</t>
  </si>
  <si>
    <t>Observed Error Std Dev(m)</t>
  </si>
  <si>
    <t>Low Noise</t>
  </si>
  <si>
    <t>Moderate Noise</t>
  </si>
  <si>
    <t>High Noise</t>
  </si>
  <si>
    <t>Scenario</t>
  </si>
  <si>
    <t>Signal Power</t>
  </si>
  <si>
    <t>Noise Power</t>
  </si>
  <si>
    <t>Linear SNR</t>
  </si>
  <si>
    <t>SNR(dB)</t>
  </si>
  <si>
    <t>Detection Threshold(dB)</t>
  </si>
  <si>
    <t>Detection Result</t>
  </si>
  <si>
    <t>Strong Signal</t>
  </si>
  <si>
    <t>Moderate Signal</t>
  </si>
  <si>
    <t>Weak Signal</t>
  </si>
  <si>
    <t>Very Weak Signal</t>
  </si>
  <si>
    <t>SNR (dB)</t>
  </si>
  <si>
    <t>Detection Threshold (dB)</t>
  </si>
  <si>
    <t>Baseline</t>
  </si>
  <si>
    <t>Increased Signal Power</t>
  </si>
  <si>
    <t>Reduced Noise Power</t>
  </si>
  <si>
    <t>Improved Signal and Reduced Noise</t>
  </si>
  <si>
    <t>Stronger Noise</t>
  </si>
  <si>
    <t>Target Range(m)</t>
  </si>
  <si>
    <t>Relative Received Power</t>
  </si>
  <si>
    <t>Relative Power(dB)</t>
  </si>
  <si>
    <t>Relative Signal Strength</t>
  </si>
  <si>
    <t>Estimated Range(m)</t>
  </si>
  <si>
    <t>Detection Status</t>
  </si>
  <si>
    <t>Range Estimation Error(m)</t>
  </si>
  <si>
    <t>Actual Target Range(m)</t>
  </si>
  <si>
    <t>Ideal Round Trip Time(us)</t>
  </si>
  <si>
    <t xml:space="preserve">Measured Round Trip Time(us) </t>
  </si>
  <si>
    <t>Range Error(m)</t>
  </si>
  <si>
    <t>Actual Target Range</t>
  </si>
  <si>
    <t>Average Estimated Range</t>
  </si>
  <si>
    <t>Standard Deviation of Range Error</t>
  </si>
  <si>
    <t>Minimum Estimated Range</t>
  </si>
  <si>
    <t>Maximum Estimated Range</t>
  </si>
  <si>
    <t>Measurements Above Threshold</t>
  </si>
  <si>
    <t>Measurements Below Threshold</t>
  </si>
  <si>
    <t>measurements</t>
  </si>
  <si>
    <t>Interpretation</t>
  </si>
  <si>
    <t>Average Signed Range Error</t>
  </si>
  <si>
    <t>Mean Absolute Error(MAE)</t>
  </si>
  <si>
    <t>Root Mean Square Error(RMSE)</t>
  </si>
  <si>
    <t>Measurements Above Detection Threshold</t>
  </si>
  <si>
    <t>Measurements Below Detection Threshold</t>
  </si>
  <si>
    <t>Average Estimated Range(m)</t>
  </si>
  <si>
    <t>Average Signed Error(m)</t>
  </si>
  <si>
    <t>RMSE(M)</t>
  </si>
  <si>
    <t>Error Standard Deviation(m)</t>
  </si>
  <si>
    <t>Test ID</t>
  </si>
  <si>
    <t>Validation Test</t>
  </si>
  <si>
    <t>Expected Result</t>
  </si>
  <si>
    <t>Actual Result</t>
  </si>
  <si>
    <t>Validation Status</t>
  </si>
  <si>
    <t>Technical Explanation</t>
  </si>
  <si>
    <t>TEST-01</t>
  </si>
  <si>
    <t>Range Calculation</t>
  </si>
  <si>
    <t>TEST-02</t>
  </si>
  <si>
    <t>Theoretical Range Error</t>
  </si>
  <si>
    <t>TEST-03</t>
  </si>
  <si>
    <t>Received Power at Reference Range</t>
  </si>
  <si>
    <t>Relative received power should equal 1 at the 1,000 m reference range.</t>
  </si>
  <si>
    <t>TEST-04</t>
  </si>
  <si>
    <t>Detection Above Threshold</t>
  </si>
  <si>
    <t>Above Threshold</t>
  </si>
  <si>
    <t>TEST-05</t>
  </si>
  <si>
    <t>Detection Below Threshold</t>
  </si>
  <si>
    <t>Below Threshold</t>
  </si>
  <si>
    <t>A signal stronger than the selected threshold should be classified as above threshold.</t>
  </si>
  <si>
    <t>A signal weaker than the selected threshold should be classified as below threshold.</t>
  </si>
  <si>
    <t>TEST-06</t>
  </si>
  <si>
    <t>Measurement Count</t>
  </si>
  <si>
    <t>The simulation should contain ten measurement records.</t>
  </si>
  <si>
    <t>Estimated range should equal the actual range when timing noise is zero.</t>
  </si>
  <si>
    <t>A timing noise standard deviation of 0.1 us corresponds to a range error standard deviation of 15m.</t>
  </si>
  <si>
    <t>Reference distance used to evaluate the accuracy of the radar range estimation model.</t>
  </si>
  <si>
    <t>Average distance estimated by the model across all simulated measurements.</t>
  </si>
  <si>
    <t>indicates systematic bias,A positive value means the model tends to overestimate range and negative value means it tends to underestimate range.</t>
  </si>
  <si>
    <t>Average magnitude of the range estimation errors regardless of direction,Lower values indicate better accuracy.</t>
  </si>
  <si>
    <t>Measures the spread of errors around their mean,A lower value indicates more consistent estimates.</t>
  </si>
  <si>
    <t>Measures the magnitude of estimation errors while giving greater weight to larger errors.Lower values indicate better accuracy</t>
  </si>
  <si>
    <t>Largest  absolute range estimation error observed in the simulation.</t>
  </si>
  <si>
    <t>Lowest target range estimated across the simulated measurements.</t>
  </si>
  <si>
    <t>Highest target range estimated across the simulated measurements.</t>
  </si>
  <si>
    <t>Number of simulated measurements classified as above the selected detection threshold.</t>
  </si>
  <si>
    <t>Number of simulated measurements classified as below the selected detection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</si>
</sst>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4" sqref="B4"/>
    </sheetView>
  </sheetViews>
  <sheetFormatPr defaultRowHeight="15" x14ac:dyDescent="0.25"/>
  <cols>
    <col min="1" max="1" width="29.7109375" customWidth="1"/>
    <col min="2" max="2" width="13.7109375" customWidth="1"/>
    <col min="3" max="3" width="12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300000000</v>
      </c>
      <c r="C2" t="s">
        <v>4</v>
      </c>
    </row>
    <row r="3" spans="1:3" x14ac:dyDescent="0.25">
      <c r="A3" t="s">
        <v>5</v>
      </c>
      <c r="B3">
        <v>3000</v>
      </c>
      <c r="C3" t="s">
        <v>6</v>
      </c>
    </row>
    <row r="4" spans="1:3" x14ac:dyDescent="0.25">
      <c r="A4" t="s">
        <v>26</v>
      </c>
      <c r="B4">
        <v>0.01</v>
      </c>
      <c r="C4" t="s">
        <v>7</v>
      </c>
    </row>
    <row r="5" spans="1:3" x14ac:dyDescent="0.25">
      <c r="A5" t="s">
        <v>8</v>
      </c>
      <c r="B5">
        <v>10</v>
      </c>
      <c r="C5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E2" sqref="E2"/>
    </sheetView>
  </sheetViews>
  <sheetFormatPr defaultRowHeight="15" x14ac:dyDescent="0.25"/>
  <cols>
    <col min="1" max="1" width="13.42578125" customWidth="1"/>
    <col min="2" max="2" width="17.85546875" customWidth="1"/>
    <col min="3" max="3" width="19.28515625" customWidth="1"/>
    <col min="4" max="4" width="19.140625" customWidth="1"/>
    <col min="5" max="5" width="18.7109375" customWidth="1"/>
    <col min="6" max="6" width="20.42578125" customWidth="1"/>
    <col min="7" max="7" width="18.42578125" customWidth="1"/>
    <col min="8" max="8" width="18.85546875" customWidth="1"/>
  </cols>
  <sheetData>
    <row r="1" spans="1:8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5">
      <c r="A2">
        <f>ROW( )-1</f>
        <v>1</v>
      </c>
      <c r="B2">
        <f>'Radar Inputs'!$B$3</f>
        <v>3000</v>
      </c>
      <c r="C2">
        <f>2*B2/'Radar Inputs'!$B$2</f>
        <v>2.0000000000000002E-5</v>
      </c>
      <c r="D2">
        <f>C2*1000000</f>
        <v>20</v>
      </c>
      <c r="E2">
        <f ca="1">D2+_xlfn.NORM.S.INV(RAND())*'Radar Inputs'!$B$4</f>
        <v>19.983612342344447</v>
      </c>
      <c r="F2">
        <f ca="1">'Radar Inputs'!$B$2*E2/1000000/2</f>
        <v>2997.541851351667</v>
      </c>
      <c r="G2">
        <f ca="1">F2-B2</f>
        <v>-2.4581486483330082</v>
      </c>
      <c r="H2">
        <f ca="1">ABS(G2)</f>
        <v>2.4581486483330082</v>
      </c>
    </row>
    <row r="3" spans="1:8" x14ac:dyDescent="0.25">
      <c r="A3">
        <f t="shared" ref="A3:A11" si="0">ROW( )-1</f>
        <v>2</v>
      </c>
      <c r="B3">
        <f>'Radar Inputs'!$B$3</f>
        <v>3000</v>
      </c>
      <c r="C3">
        <f>2*B3/'Radar Inputs'!$B$2</f>
        <v>2.0000000000000002E-5</v>
      </c>
      <c r="D3">
        <f t="shared" ref="D3:D11" si="1">C3*1000000</f>
        <v>20</v>
      </c>
      <c r="E3">
        <f ca="1">D3+_xlfn.NORM.S.INV(RAND())*'Radar Inputs'!$B$4</f>
        <v>20.00274491670778</v>
      </c>
      <c r="F3">
        <f ca="1">'Radar Inputs'!$B$2*E3/1000000/2</f>
        <v>3000.4117375061669</v>
      </c>
      <c r="G3">
        <f t="shared" ref="G3:G11" ca="1" si="2">F3-B3</f>
        <v>0.41173750616690086</v>
      </c>
      <c r="H3">
        <f t="shared" ref="H3:H11" ca="1" si="3">ABS(G3)</f>
        <v>0.41173750616690086</v>
      </c>
    </row>
    <row r="4" spans="1:8" x14ac:dyDescent="0.25">
      <c r="A4">
        <f t="shared" si="0"/>
        <v>3</v>
      </c>
      <c r="B4">
        <f>'Radar Inputs'!$B$3</f>
        <v>3000</v>
      </c>
      <c r="C4">
        <f>2*B4/'Radar Inputs'!$B$2</f>
        <v>2.0000000000000002E-5</v>
      </c>
      <c r="D4">
        <f t="shared" si="1"/>
        <v>20</v>
      </c>
      <c r="E4">
        <f ca="1">D4+_xlfn.NORM.S.INV(RAND())*'Radar Inputs'!$B$4</f>
        <v>19.991634661266421</v>
      </c>
      <c r="F4">
        <f ca="1">'Radar Inputs'!$B$2*E4/1000000/2</f>
        <v>2998.7451991899629</v>
      </c>
      <c r="G4">
        <f t="shared" ca="1" si="2"/>
        <v>-1.254800810037068</v>
      </c>
      <c r="H4">
        <f t="shared" ca="1" si="3"/>
        <v>1.254800810037068</v>
      </c>
    </row>
    <row r="5" spans="1:8" x14ac:dyDescent="0.25">
      <c r="A5">
        <f t="shared" si="0"/>
        <v>4</v>
      </c>
      <c r="B5">
        <f>'Radar Inputs'!$B$3</f>
        <v>3000</v>
      </c>
      <c r="C5">
        <f>2*B5/'Radar Inputs'!$B$2</f>
        <v>2.0000000000000002E-5</v>
      </c>
      <c r="D5">
        <f t="shared" si="1"/>
        <v>20</v>
      </c>
      <c r="E5">
        <f ca="1">D5+_xlfn.NORM.S.INV(RAND())*'Radar Inputs'!$B$4</f>
        <v>20.012955665355488</v>
      </c>
      <c r="F5">
        <f ca="1">'Radar Inputs'!$B$2*E5/1000000/2</f>
        <v>3001.9433498033231</v>
      </c>
      <c r="G5">
        <f t="shared" ca="1" si="2"/>
        <v>1.9433498033231444</v>
      </c>
      <c r="H5">
        <f t="shared" ca="1" si="3"/>
        <v>1.9433498033231444</v>
      </c>
    </row>
    <row r="6" spans="1:8" x14ac:dyDescent="0.25">
      <c r="A6">
        <f t="shared" si="0"/>
        <v>5</v>
      </c>
      <c r="B6">
        <f>'Radar Inputs'!$B$3</f>
        <v>3000</v>
      </c>
      <c r="C6">
        <f>2*B6/'Radar Inputs'!$B$2</f>
        <v>2.0000000000000002E-5</v>
      </c>
      <c r="D6">
        <f t="shared" si="1"/>
        <v>20</v>
      </c>
      <c r="E6">
        <f ca="1">D6+_xlfn.NORM.S.INV(RAND())*'Radar Inputs'!$B$4</f>
        <v>20.006111994832413</v>
      </c>
      <c r="F6">
        <f ca="1">'Radar Inputs'!$B$2*E6/1000000/2</f>
        <v>3000.9167992248622</v>
      </c>
      <c r="G6">
        <f t="shared" ca="1" si="2"/>
        <v>0.91679922486218857</v>
      </c>
      <c r="H6">
        <f t="shared" ca="1" si="3"/>
        <v>0.91679922486218857</v>
      </c>
    </row>
    <row r="7" spans="1:8" x14ac:dyDescent="0.25">
      <c r="A7">
        <f t="shared" si="0"/>
        <v>6</v>
      </c>
      <c r="B7">
        <f>'Radar Inputs'!$B$3</f>
        <v>3000</v>
      </c>
      <c r="C7">
        <f>2*B7/'Radar Inputs'!$B$2</f>
        <v>2.0000000000000002E-5</v>
      </c>
      <c r="D7">
        <f t="shared" si="1"/>
        <v>20</v>
      </c>
      <c r="E7">
        <f ca="1">D7+_xlfn.NORM.S.INV(RAND())*'Radar Inputs'!$B$4</f>
        <v>19.97597139628801</v>
      </c>
      <c r="F7">
        <f ca="1">'Radar Inputs'!$B$2*E7/1000000/2</f>
        <v>2996.3957094432017</v>
      </c>
      <c r="G7">
        <f t="shared" ca="1" si="2"/>
        <v>-3.6042905567983325</v>
      </c>
      <c r="H7">
        <f t="shared" ca="1" si="3"/>
        <v>3.6042905567983325</v>
      </c>
    </row>
    <row r="8" spans="1:8" x14ac:dyDescent="0.25">
      <c r="A8">
        <f t="shared" si="0"/>
        <v>7</v>
      </c>
      <c r="B8">
        <f>'Radar Inputs'!$B$3</f>
        <v>3000</v>
      </c>
      <c r="C8">
        <f>2*B8/'Radar Inputs'!$B$2</f>
        <v>2.0000000000000002E-5</v>
      </c>
      <c r="D8">
        <f t="shared" si="1"/>
        <v>20</v>
      </c>
      <c r="E8">
        <f ca="1">D8+_xlfn.NORM.S.INV(RAND())*'Radar Inputs'!$B$4</f>
        <v>20.021018905682503</v>
      </c>
      <c r="F8">
        <f ca="1">'Radar Inputs'!$B$2*E8/1000000/2</f>
        <v>3003.1528358523756</v>
      </c>
      <c r="G8">
        <f t="shared" ca="1" si="2"/>
        <v>3.1528358523755742</v>
      </c>
      <c r="H8">
        <f t="shared" ca="1" si="3"/>
        <v>3.1528358523755742</v>
      </c>
    </row>
    <row r="9" spans="1:8" x14ac:dyDescent="0.25">
      <c r="A9">
        <f t="shared" si="0"/>
        <v>8</v>
      </c>
      <c r="B9">
        <f>'Radar Inputs'!$B$3</f>
        <v>3000</v>
      </c>
      <c r="C9">
        <f>2*B9/'Radar Inputs'!$B$2</f>
        <v>2.0000000000000002E-5</v>
      </c>
      <c r="D9">
        <f t="shared" si="1"/>
        <v>20</v>
      </c>
      <c r="E9">
        <f ca="1">D9+_xlfn.NORM.S.INV(RAND())*'Radar Inputs'!$B$4</f>
        <v>20.01652241290547</v>
      </c>
      <c r="F9">
        <f ca="1">'Radar Inputs'!$B$2*E9/1000000/2</f>
        <v>3002.4783619358204</v>
      </c>
      <c r="G9">
        <f t="shared" ca="1" si="2"/>
        <v>2.4783619358204305</v>
      </c>
      <c r="H9">
        <f t="shared" ca="1" si="3"/>
        <v>2.4783619358204305</v>
      </c>
    </row>
    <row r="10" spans="1:8" x14ac:dyDescent="0.25">
      <c r="A10">
        <f t="shared" si="0"/>
        <v>9</v>
      </c>
      <c r="B10">
        <f>'Radar Inputs'!$B$3</f>
        <v>3000</v>
      </c>
      <c r="C10">
        <f>2*B10/'Radar Inputs'!$B$2</f>
        <v>2.0000000000000002E-5</v>
      </c>
      <c r="D10">
        <f t="shared" si="1"/>
        <v>20</v>
      </c>
      <c r="E10">
        <f ca="1">D10+_xlfn.NORM.S.INV(RAND())*'Radar Inputs'!$B$4</f>
        <v>20.010469068779155</v>
      </c>
      <c r="F10">
        <f ca="1">'Radar Inputs'!$B$2*E10/1000000/2</f>
        <v>3001.5703603168731</v>
      </c>
      <c r="G10">
        <f t="shared" ca="1" si="2"/>
        <v>1.5703603168731206</v>
      </c>
      <c r="H10">
        <f t="shared" ca="1" si="3"/>
        <v>1.5703603168731206</v>
      </c>
    </row>
    <row r="11" spans="1:8" x14ac:dyDescent="0.25">
      <c r="A11">
        <f t="shared" si="0"/>
        <v>10</v>
      </c>
      <c r="B11">
        <f>'Radar Inputs'!$B$3</f>
        <v>3000</v>
      </c>
      <c r="C11">
        <f>2*B11/'Radar Inputs'!$B$2</f>
        <v>2.0000000000000002E-5</v>
      </c>
      <c r="D11">
        <f t="shared" si="1"/>
        <v>20</v>
      </c>
      <c r="E11">
        <f ca="1">D11+_xlfn.NORM.S.INV(RAND())*'Radar Inputs'!$B$4</f>
        <v>19.995517805927776</v>
      </c>
      <c r="F11">
        <f ca="1">'Radar Inputs'!$B$2*E11/1000000/2</f>
        <v>2999.3276708891663</v>
      </c>
      <c r="G11">
        <f t="shared" ca="1" si="2"/>
        <v>-0.67232911083374347</v>
      </c>
      <c r="H11">
        <f t="shared" ca="1" si="3"/>
        <v>0.67232911083374347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1" sqref="C11"/>
    </sheetView>
  </sheetViews>
  <sheetFormatPr defaultRowHeight="15" x14ac:dyDescent="0.25"/>
  <cols>
    <col min="1" max="1" width="34.5703125" customWidth="1"/>
    <col min="2" max="2" width="22.42578125" customWidth="1"/>
    <col min="3" max="3" width="13.28515625" customWidth="1"/>
  </cols>
  <sheetData>
    <row r="1" spans="1:3" x14ac:dyDescent="0.25">
      <c r="A1" s="1" t="s">
        <v>18</v>
      </c>
      <c r="B1" s="1" t="s">
        <v>19</v>
      </c>
      <c r="C1" s="1" t="s">
        <v>2</v>
      </c>
    </row>
    <row r="2" spans="1:3" x14ac:dyDescent="0.25">
      <c r="A2" t="s">
        <v>5</v>
      </c>
      <c r="B2">
        <f>'Radar Inputs'!B3</f>
        <v>3000</v>
      </c>
      <c r="C2" t="s">
        <v>6</v>
      </c>
    </row>
    <row r="3" spans="1:3" x14ac:dyDescent="0.25">
      <c r="A3" t="s">
        <v>20</v>
      </c>
      <c r="B3">
        <f ca="1">AVERAGE('Range Simulation'!F2:F11)</f>
        <v>3000.2483875513417</v>
      </c>
      <c r="C3" t="s">
        <v>6</v>
      </c>
    </row>
    <row r="4" spans="1:3" x14ac:dyDescent="0.25">
      <c r="A4" t="s">
        <v>21</v>
      </c>
      <c r="B4">
        <f ca="1">AVERAGE('Range Simulation'!G2:G11)</f>
        <v>0.2483875513419207</v>
      </c>
      <c r="C4" t="s">
        <v>6</v>
      </c>
    </row>
    <row r="5" spans="1:3" x14ac:dyDescent="0.25">
      <c r="A5" t="s">
        <v>22</v>
      </c>
      <c r="B5">
        <f ca="1">AVERAGE('Range Simulation'!H2:H11)</f>
        <v>1.846301376542351</v>
      </c>
      <c r="C5" t="s">
        <v>6</v>
      </c>
    </row>
    <row r="6" spans="1:3" x14ac:dyDescent="0.25">
      <c r="A6" t="s">
        <v>23</v>
      </c>
      <c r="B6">
        <f ca="1">MAX('Range Simulation'!H2:H11)</f>
        <v>3.6042905567983325</v>
      </c>
      <c r="C6" t="s">
        <v>6</v>
      </c>
    </row>
    <row r="7" spans="1:3" x14ac:dyDescent="0.25">
      <c r="A7" t="s">
        <v>24</v>
      </c>
      <c r="B7">
        <f ca="1">MIN('Range Simulation'!F2:F11)</f>
        <v>2996.3957094432017</v>
      </c>
      <c r="C7" t="s">
        <v>6</v>
      </c>
    </row>
    <row r="8" spans="1:3" x14ac:dyDescent="0.25">
      <c r="A8" t="s">
        <v>25</v>
      </c>
      <c r="B8">
        <f ca="1">MAX('Range Simulation'!F2:F11)</f>
        <v>3003.1528358523756</v>
      </c>
      <c r="C8" t="s">
        <v>6</v>
      </c>
    </row>
    <row r="9" spans="1:3" x14ac:dyDescent="0.25">
      <c r="A9" t="s">
        <v>27</v>
      </c>
      <c r="B9">
        <f ca="1">SQRT(SUMSQ('Range Simulation'!G2:G11)/COUNT('Range Simulation'!G2:G11))</f>
        <v>2.1070191521150918</v>
      </c>
      <c r="C9" t="s">
        <v>6</v>
      </c>
    </row>
    <row r="10" spans="1:3" x14ac:dyDescent="0.25">
      <c r="A10" t="s">
        <v>28</v>
      </c>
      <c r="B10">
        <f ca="1">_xlfn.STDEV.S('Range Simulation'!G2:G11)</f>
        <v>2.2055065761553805</v>
      </c>
      <c r="C10" t="s">
        <v>6</v>
      </c>
    </row>
    <row r="11" spans="1:3" x14ac:dyDescent="0.25">
      <c r="A11" t="s">
        <v>29</v>
      </c>
      <c r="B11">
        <f ca="1">AVERAGE('Range Simulation'!H2:H11)/B2*100</f>
        <v>6.154337921807837E-2</v>
      </c>
      <c r="C11" s="2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H2" sqref="H2"/>
    </sheetView>
  </sheetViews>
  <sheetFormatPr defaultRowHeight="15" x14ac:dyDescent="0.25"/>
  <cols>
    <col min="1" max="1" width="16.42578125" customWidth="1"/>
    <col min="2" max="2" width="23.42578125" customWidth="1"/>
    <col min="3" max="3" width="33.7109375" customWidth="1"/>
    <col min="4" max="4" width="26.5703125" customWidth="1"/>
    <col min="5" max="5" width="22.5703125" customWidth="1"/>
    <col min="6" max="6" width="15.5703125" customWidth="1"/>
    <col min="7" max="7" width="27.42578125" customWidth="1"/>
  </cols>
  <sheetData>
    <row r="1" spans="1:7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38</v>
      </c>
      <c r="B2">
        <v>0.01</v>
      </c>
      <c r="C2">
        <f>'Radar Inputs'!$B$2*B2/1000000/2</f>
        <v>1.5</v>
      </c>
      <c r="D2">
        <f ca="1">AVERAGE('Range Simulation'!F2:F11)</f>
        <v>3000.2483875513417</v>
      </c>
      <c r="E2">
        <f ca="1">AVERAGE('Range Simulation'!H2:H11)</f>
        <v>1.846301376542351</v>
      </c>
      <c r="F2">
        <f ca="1">SQRT(SUMSQ('Range Simulation'!G2:G11)/COUNT('Range Simulation'!G2:G11))</f>
        <v>2.1070191521150918</v>
      </c>
      <c r="G2">
        <f ca="1">_xlfn.STDEV.S('Range Simulation'!G2:G11)</f>
        <v>2.2055065761553805</v>
      </c>
    </row>
    <row r="3" spans="1:7" x14ac:dyDescent="0.25">
      <c r="A3" t="s">
        <v>39</v>
      </c>
      <c r="B3">
        <v>0.1</v>
      </c>
      <c r="C3">
        <f>'Radar Inputs'!$B$2*B3/1000000/2</f>
        <v>15</v>
      </c>
      <c r="D3">
        <f ca="1">AVERAGE('Range Simulation'!F3:F12)</f>
        <v>3000.5491137957506</v>
      </c>
      <c r="E3">
        <f ca="1">AVERAGE('Range Simulation'!H3:H12)</f>
        <v>1.7783183463433891</v>
      </c>
      <c r="F3">
        <f ca="1">SQRT(SUMSQ('Range Simulation'!G3:G12)/COUNT('Range Simulation'!G3:G12))</f>
        <v>2.0643213115667125</v>
      </c>
      <c r="G3">
        <f ca="1">_xlfn.STDEV.S('Range Simulation'!G3:G12)</f>
        <v>2.1106595133496611</v>
      </c>
    </row>
    <row r="4" spans="1:7" x14ac:dyDescent="0.25">
      <c r="A4" t="s">
        <v>40</v>
      </c>
      <c r="B4">
        <v>0.5</v>
      </c>
      <c r="C4">
        <f>'Radar Inputs'!$B$2*B4/1000000/2</f>
        <v>75</v>
      </c>
      <c r="D4">
        <f ca="1">AVERAGE('Range Simulation'!F4:F13)</f>
        <v>3000.5662858319483</v>
      </c>
      <c r="E4">
        <f ca="1">AVERAGE('Range Simulation'!H4:H13)</f>
        <v>1.9491409513654503</v>
      </c>
      <c r="F4">
        <f ca="1">SQRT(SUMSQ('Range Simulation'!G4:G13)/COUNT('Range Simulation'!G4:G13))</f>
        <v>2.1846989072442016</v>
      </c>
      <c r="G4">
        <f ca="1">_xlfn.STDEV.S('Range Simulation'!G4:G13)</f>
        <v>2.2557177310365977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H2" sqref="H2"/>
    </sheetView>
  </sheetViews>
  <sheetFormatPr defaultRowHeight="15" x14ac:dyDescent="0.25"/>
  <cols>
    <col min="1" max="1" width="22.7109375" customWidth="1"/>
    <col min="2" max="2" width="12.140625" customWidth="1"/>
    <col min="3" max="3" width="12.28515625" customWidth="1"/>
    <col min="4" max="4" width="11.28515625" customWidth="1"/>
    <col min="6" max="6" width="23.5703125" customWidth="1"/>
    <col min="7" max="7" width="21.28515625" customWidth="1"/>
  </cols>
  <sheetData>
    <row r="1" spans="1:7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25">
      <c r="A2" t="s">
        <v>48</v>
      </c>
      <c r="B2">
        <v>100</v>
      </c>
      <c r="C2">
        <v>1</v>
      </c>
      <c r="D2">
        <f>B2/C2</f>
        <v>100</v>
      </c>
      <c r="E2">
        <f>10*LOG10(D2)</f>
        <v>20</v>
      </c>
      <c r="F2">
        <v>10</v>
      </c>
      <c r="G2" t="str">
        <f>IF(E2&gt;=F2,"Signal Detected","Signal Below Threshold")</f>
        <v>Signal Detected</v>
      </c>
    </row>
    <row r="3" spans="1:7" x14ac:dyDescent="0.25">
      <c r="A3" t="s">
        <v>49</v>
      </c>
      <c r="B3">
        <v>10</v>
      </c>
      <c r="C3">
        <v>1</v>
      </c>
      <c r="D3">
        <f t="shared" ref="D3:D5" si="0">B3/C3</f>
        <v>10</v>
      </c>
      <c r="E3">
        <f t="shared" ref="E3:E5" si="1">10*LOG10(D3)</f>
        <v>10</v>
      </c>
      <c r="F3">
        <v>10</v>
      </c>
      <c r="G3" t="str">
        <f t="shared" ref="G3:G5" si="2">IF(E3&gt;=F3,"Signal Detected","Signal Below Threshold")</f>
        <v>Signal Detected</v>
      </c>
    </row>
    <row r="4" spans="1:7" x14ac:dyDescent="0.25">
      <c r="A4" t="s">
        <v>50</v>
      </c>
      <c r="B4">
        <v>1</v>
      </c>
      <c r="C4">
        <v>1</v>
      </c>
      <c r="D4">
        <f t="shared" si="0"/>
        <v>1</v>
      </c>
      <c r="E4">
        <f t="shared" si="1"/>
        <v>0</v>
      </c>
      <c r="F4">
        <v>10</v>
      </c>
      <c r="G4" t="str">
        <f t="shared" si="2"/>
        <v>Signal Below Threshold</v>
      </c>
    </row>
    <row r="5" spans="1:7" x14ac:dyDescent="0.25">
      <c r="A5" t="s">
        <v>51</v>
      </c>
      <c r="B5">
        <v>0.1</v>
      </c>
      <c r="C5">
        <v>1</v>
      </c>
      <c r="D5">
        <f t="shared" si="0"/>
        <v>0.1</v>
      </c>
      <c r="E5">
        <f t="shared" si="1"/>
        <v>-10</v>
      </c>
      <c r="F5">
        <v>10</v>
      </c>
      <c r="G5" t="str">
        <f t="shared" si="2"/>
        <v>Signal Below Threshold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F2" sqref="F2"/>
    </sheetView>
  </sheetViews>
  <sheetFormatPr defaultRowHeight="15" x14ac:dyDescent="0.25"/>
  <cols>
    <col min="1" max="1" width="32.5703125" customWidth="1"/>
    <col min="2" max="2" width="13.85546875" customWidth="1"/>
    <col min="3" max="3" width="12.5703125" customWidth="1"/>
    <col min="4" max="4" width="11.28515625" customWidth="1"/>
    <col min="6" max="6" width="23" customWidth="1"/>
    <col min="7" max="7" width="23.5703125" customWidth="1"/>
  </cols>
  <sheetData>
    <row r="1" spans="1:7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52</v>
      </c>
      <c r="F1" s="1" t="s">
        <v>53</v>
      </c>
      <c r="G1" s="1" t="s">
        <v>47</v>
      </c>
    </row>
    <row r="2" spans="1:7" x14ac:dyDescent="0.25">
      <c r="A2" t="s">
        <v>54</v>
      </c>
      <c r="B2">
        <v>1</v>
      </c>
      <c r="C2">
        <v>1</v>
      </c>
      <c r="D2">
        <f>B2/C2</f>
        <v>1</v>
      </c>
      <c r="E2">
        <f>10*LOG10(D2)</f>
        <v>0</v>
      </c>
      <c r="F2">
        <v>10</v>
      </c>
      <c r="G2" t="str">
        <f>IF(E2&gt;=F2,"Signal Detected","Signal Below Threshold")</f>
        <v>Signal Below Threshold</v>
      </c>
    </row>
    <row r="3" spans="1:7" x14ac:dyDescent="0.25">
      <c r="A3" t="s">
        <v>55</v>
      </c>
      <c r="B3">
        <v>10</v>
      </c>
      <c r="C3">
        <v>1</v>
      </c>
      <c r="D3">
        <f t="shared" ref="D3:D6" si="0">B3/C3</f>
        <v>10</v>
      </c>
      <c r="E3">
        <f t="shared" ref="E3:E6" si="1">10*LOG10(D3)</f>
        <v>10</v>
      </c>
      <c r="F3">
        <v>10</v>
      </c>
      <c r="G3" t="str">
        <f t="shared" ref="G3:G6" si="2">IF(E3&gt;=F3,"Signal Detected","Signal Below Threshold")</f>
        <v>Signal Detected</v>
      </c>
    </row>
    <row r="4" spans="1:7" x14ac:dyDescent="0.25">
      <c r="A4" t="s">
        <v>56</v>
      </c>
      <c r="B4">
        <v>1</v>
      </c>
      <c r="C4">
        <v>0.1</v>
      </c>
      <c r="D4">
        <f t="shared" si="0"/>
        <v>10</v>
      </c>
      <c r="E4">
        <f t="shared" si="1"/>
        <v>10</v>
      </c>
      <c r="F4">
        <v>10</v>
      </c>
      <c r="G4" t="str">
        <f t="shared" si="2"/>
        <v>Signal Detected</v>
      </c>
    </row>
    <row r="5" spans="1:7" x14ac:dyDescent="0.25">
      <c r="A5" t="s">
        <v>57</v>
      </c>
      <c r="B5">
        <v>10</v>
      </c>
      <c r="C5">
        <v>0.1</v>
      </c>
      <c r="D5">
        <f t="shared" si="0"/>
        <v>100</v>
      </c>
      <c r="E5">
        <f t="shared" si="1"/>
        <v>20</v>
      </c>
      <c r="F5">
        <v>10</v>
      </c>
      <c r="G5" t="str">
        <f t="shared" si="2"/>
        <v>Signal Detected</v>
      </c>
    </row>
    <row r="6" spans="1:7" x14ac:dyDescent="0.25">
      <c r="A6" t="s">
        <v>58</v>
      </c>
      <c r="B6">
        <v>1</v>
      </c>
      <c r="C6">
        <v>10</v>
      </c>
      <c r="D6">
        <f t="shared" si="0"/>
        <v>0.1</v>
      </c>
      <c r="E6">
        <f t="shared" si="1"/>
        <v>-10</v>
      </c>
      <c r="F6">
        <v>10</v>
      </c>
      <c r="G6" t="str">
        <f t="shared" si="2"/>
        <v>Signal Below Threshold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zoomScale="98" zoomScaleNormal="98" workbookViewId="0">
      <selection activeCell="G2" sqref="G2"/>
    </sheetView>
  </sheetViews>
  <sheetFormatPr defaultRowHeight="15" x14ac:dyDescent="0.25"/>
  <cols>
    <col min="1" max="1" width="16.42578125" customWidth="1"/>
    <col min="2" max="2" width="23.7109375" customWidth="1"/>
    <col min="3" max="3" width="18.42578125" customWidth="1"/>
    <col min="4" max="4" width="22.140625" customWidth="1"/>
    <col min="5" max="5" width="23.140625" customWidth="1"/>
    <col min="6" max="6" width="18.7109375" customWidth="1"/>
  </cols>
  <sheetData>
    <row r="1" spans="1:6" x14ac:dyDescent="0.25">
      <c r="A1" s="1" t="s">
        <v>59</v>
      </c>
      <c r="B1" s="1" t="s">
        <v>60</v>
      </c>
      <c r="C1" s="1" t="s">
        <v>61</v>
      </c>
      <c r="D1" s="1" t="s">
        <v>62</v>
      </c>
      <c r="E1" s="1" t="s">
        <v>46</v>
      </c>
      <c r="F1" s="1" t="s">
        <v>47</v>
      </c>
    </row>
    <row r="2" spans="1:6" x14ac:dyDescent="0.25">
      <c r="A2">
        <v>500</v>
      </c>
      <c r="B2">
        <f>(1000/A2)^4</f>
        <v>16</v>
      </c>
      <c r="C2">
        <f>10*LOG10(B2)</f>
        <v>12.041199826559248</v>
      </c>
      <c r="D2">
        <f>SQRT(B2)</f>
        <v>4</v>
      </c>
      <c r="E2">
        <f>-20</f>
        <v>-20</v>
      </c>
      <c r="F2" t="str">
        <f>IF(C2&gt;=E2,"Above Threshold","Below Threshold")</f>
        <v>Above Threshold</v>
      </c>
    </row>
    <row r="3" spans="1:6" x14ac:dyDescent="0.25">
      <c r="A3">
        <v>1000</v>
      </c>
      <c r="B3">
        <f t="shared" ref="B3:B9" si="0">(1000/A3)^4</f>
        <v>1</v>
      </c>
      <c r="C3">
        <f t="shared" ref="C3:C9" si="1">10*LOG10(B3)</f>
        <v>0</v>
      </c>
      <c r="D3">
        <f t="shared" ref="D3:D9" si="2">SQRT(B3)</f>
        <v>1</v>
      </c>
      <c r="E3">
        <f t="shared" ref="E3:E9" si="3">-20</f>
        <v>-20</v>
      </c>
      <c r="F3" t="str">
        <f t="shared" ref="F3:F9" si="4">IF(C3&gt;=E3,"Above Threshold","Below Threshold")</f>
        <v>Above Threshold</v>
      </c>
    </row>
    <row r="4" spans="1:6" x14ac:dyDescent="0.25">
      <c r="A4">
        <v>1500</v>
      </c>
      <c r="B4">
        <f t="shared" si="0"/>
        <v>0.19753086419753085</v>
      </c>
      <c r="C4">
        <f t="shared" si="1"/>
        <v>-7.0436503622272495</v>
      </c>
      <c r="D4">
        <f t="shared" si="2"/>
        <v>0.44444444444444442</v>
      </c>
      <c r="E4">
        <f t="shared" si="3"/>
        <v>-20</v>
      </c>
      <c r="F4" t="str">
        <f t="shared" si="4"/>
        <v>Above Threshold</v>
      </c>
    </row>
    <row r="5" spans="1:6" x14ac:dyDescent="0.25">
      <c r="A5">
        <v>2000</v>
      </c>
      <c r="B5">
        <f t="shared" si="0"/>
        <v>6.25E-2</v>
      </c>
      <c r="C5">
        <f t="shared" si="1"/>
        <v>-12.041199826559248</v>
      </c>
      <c r="D5">
        <f t="shared" si="2"/>
        <v>0.25</v>
      </c>
      <c r="E5">
        <f t="shared" si="3"/>
        <v>-20</v>
      </c>
      <c r="F5" t="str">
        <f t="shared" si="4"/>
        <v>Above Threshold</v>
      </c>
    </row>
    <row r="6" spans="1:6" x14ac:dyDescent="0.25">
      <c r="A6">
        <v>2500</v>
      </c>
      <c r="B6">
        <f t="shared" si="0"/>
        <v>2.5600000000000012E-2</v>
      </c>
      <c r="C6">
        <f t="shared" si="1"/>
        <v>-15.917600346881501</v>
      </c>
      <c r="D6">
        <f t="shared" si="2"/>
        <v>0.16000000000000003</v>
      </c>
      <c r="E6">
        <f t="shared" si="3"/>
        <v>-20</v>
      </c>
      <c r="F6" t="str">
        <f t="shared" si="4"/>
        <v>Above Threshold</v>
      </c>
    </row>
    <row r="7" spans="1:6" x14ac:dyDescent="0.25">
      <c r="A7">
        <v>3000</v>
      </c>
      <c r="B7">
        <f t="shared" si="0"/>
        <v>1.2345679012345678E-2</v>
      </c>
      <c r="C7">
        <f t="shared" si="1"/>
        <v>-19.084850188786497</v>
      </c>
      <c r="D7">
        <f t="shared" si="2"/>
        <v>0.1111111111111111</v>
      </c>
      <c r="E7">
        <f t="shared" si="3"/>
        <v>-20</v>
      </c>
      <c r="F7" t="str">
        <f t="shared" si="4"/>
        <v>Above Threshold</v>
      </c>
    </row>
    <row r="8" spans="1:6" x14ac:dyDescent="0.25">
      <c r="A8">
        <v>4000</v>
      </c>
      <c r="B8">
        <f t="shared" si="0"/>
        <v>3.90625E-3</v>
      </c>
      <c r="C8">
        <f t="shared" si="1"/>
        <v>-24.082399653118497</v>
      </c>
      <c r="D8">
        <f t="shared" si="2"/>
        <v>6.25E-2</v>
      </c>
      <c r="E8">
        <f t="shared" si="3"/>
        <v>-20</v>
      </c>
      <c r="F8" t="str">
        <f t="shared" si="4"/>
        <v>Below Threshold</v>
      </c>
    </row>
    <row r="9" spans="1:6" x14ac:dyDescent="0.25">
      <c r="A9">
        <v>5000</v>
      </c>
      <c r="B9">
        <f t="shared" si="0"/>
        <v>1.6000000000000007E-3</v>
      </c>
      <c r="C9">
        <f t="shared" si="1"/>
        <v>-27.95880017344075</v>
      </c>
      <c r="D9">
        <f t="shared" si="2"/>
        <v>4.0000000000000008E-2</v>
      </c>
      <c r="E9">
        <f t="shared" si="3"/>
        <v>-20</v>
      </c>
      <c r="F9" t="str">
        <f t="shared" si="4"/>
        <v>Below Threshold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H2" sqref="H2"/>
    </sheetView>
  </sheetViews>
  <sheetFormatPr defaultRowHeight="15" x14ac:dyDescent="0.25"/>
  <cols>
    <col min="1" max="1" width="16.42578125" customWidth="1"/>
    <col min="2" max="3" width="19.140625" customWidth="1"/>
    <col min="4" max="4" width="23.85546875" customWidth="1"/>
    <col min="5" max="5" width="18.7109375" customWidth="1"/>
    <col min="6" max="6" width="22.5703125" customWidth="1"/>
    <col min="7" max="7" width="17.85546875" customWidth="1"/>
    <col min="8" max="8" width="29" customWidth="1"/>
  </cols>
  <sheetData>
    <row r="1" spans="1:8" x14ac:dyDescent="0.25">
      <c r="A1" s="1" t="s">
        <v>59</v>
      </c>
      <c r="B1" s="1" t="s">
        <v>13</v>
      </c>
      <c r="C1" s="1" t="s">
        <v>63</v>
      </c>
      <c r="D1" s="1" t="s">
        <v>60</v>
      </c>
      <c r="E1" s="1" t="s">
        <v>61</v>
      </c>
      <c r="F1" s="1" t="s">
        <v>46</v>
      </c>
      <c r="G1" s="1" t="s">
        <v>64</v>
      </c>
      <c r="H1" s="1" t="s">
        <v>65</v>
      </c>
    </row>
    <row r="2" spans="1:8" x14ac:dyDescent="0.25">
      <c r="A2">
        <v>500</v>
      </c>
      <c r="B2">
        <f>2*A2/'Radar Inputs'!$B$2*1000000</f>
        <v>3.3333333333333335</v>
      </c>
      <c r="C2">
        <f>'Radar Inputs'!$B$2*B2/1000000/2</f>
        <v>500</v>
      </c>
      <c r="D2">
        <f>(1000/A2)^4</f>
        <v>16</v>
      </c>
      <c r="E2">
        <f>10*LOG10(D2)</f>
        <v>12.041199826559248</v>
      </c>
      <c r="F2">
        <f>-20</f>
        <v>-20</v>
      </c>
      <c r="G2" t="str">
        <f>IF(E2&gt;=F2,"Above Threshold","Below Threshold")</f>
        <v>Above Threshold</v>
      </c>
      <c r="H2">
        <f>C2-A2</f>
        <v>0</v>
      </c>
    </row>
    <row r="3" spans="1:8" x14ac:dyDescent="0.25">
      <c r="A3">
        <v>1000</v>
      </c>
      <c r="B3">
        <f>2*A3/'Radar Inputs'!$B$2*1000000</f>
        <v>6.666666666666667</v>
      </c>
      <c r="C3">
        <f>'Radar Inputs'!$B$2*B3/1000000/2</f>
        <v>1000</v>
      </c>
      <c r="D3">
        <f t="shared" ref="D3:D11" si="0">(1000/A3)^4</f>
        <v>1</v>
      </c>
      <c r="E3">
        <f t="shared" ref="E3:E11" si="1">10*LOG10(D3)</f>
        <v>0</v>
      </c>
      <c r="F3">
        <f t="shared" ref="F3:F11" si="2">-20</f>
        <v>-20</v>
      </c>
      <c r="G3" t="str">
        <f t="shared" ref="G3:G11" si="3">IF(E3&gt;=F3,"Above Threshold","Below Threshold")</f>
        <v>Above Threshold</v>
      </c>
      <c r="H3">
        <f t="shared" ref="H3:H11" si="4">C3-A3</f>
        <v>0</v>
      </c>
    </row>
    <row r="4" spans="1:8" x14ac:dyDescent="0.25">
      <c r="A4">
        <v>1500</v>
      </c>
      <c r="B4">
        <f>2*A4/'Radar Inputs'!$B$2*1000000</f>
        <v>10</v>
      </c>
      <c r="C4">
        <f>'Radar Inputs'!$B$2*B4/1000000/2</f>
        <v>1500</v>
      </c>
      <c r="D4">
        <f t="shared" si="0"/>
        <v>0.19753086419753085</v>
      </c>
      <c r="E4">
        <f t="shared" si="1"/>
        <v>-7.0436503622272495</v>
      </c>
      <c r="F4">
        <f t="shared" si="2"/>
        <v>-20</v>
      </c>
      <c r="G4" t="str">
        <f t="shared" si="3"/>
        <v>Above Threshold</v>
      </c>
      <c r="H4">
        <f t="shared" si="4"/>
        <v>0</v>
      </c>
    </row>
    <row r="5" spans="1:8" x14ac:dyDescent="0.25">
      <c r="A5">
        <v>2000</v>
      </c>
      <c r="B5">
        <f>2*A5/'Radar Inputs'!$B$2*1000000</f>
        <v>13.333333333333334</v>
      </c>
      <c r="C5">
        <f>'Radar Inputs'!$B$2*B5/1000000/2</f>
        <v>2000</v>
      </c>
      <c r="D5">
        <f t="shared" si="0"/>
        <v>6.25E-2</v>
      </c>
      <c r="E5">
        <f t="shared" si="1"/>
        <v>-12.041199826559248</v>
      </c>
      <c r="F5">
        <f t="shared" si="2"/>
        <v>-20</v>
      </c>
      <c r="G5" t="str">
        <f t="shared" si="3"/>
        <v>Above Threshold</v>
      </c>
      <c r="H5">
        <f t="shared" si="4"/>
        <v>0</v>
      </c>
    </row>
    <row r="6" spans="1:8" x14ac:dyDescent="0.25">
      <c r="A6">
        <v>2500</v>
      </c>
      <c r="B6">
        <f>2*A6/'Radar Inputs'!$B$2*1000000</f>
        <v>16.666666666666668</v>
      </c>
      <c r="C6">
        <f>'Radar Inputs'!$B$2*B6/1000000/2</f>
        <v>2500</v>
      </c>
      <c r="D6">
        <f t="shared" si="0"/>
        <v>2.5600000000000012E-2</v>
      </c>
      <c r="E6">
        <f t="shared" si="1"/>
        <v>-15.917600346881501</v>
      </c>
      <c r="F6">
        <f t="shared" si="2"/>
        <v>-20</v>
      </c>
      <c r="G6" t="str">
        <f t="shared" si="3"/>
        <v>Above Threshold</v>
      </c>
      <c r="H6">
        <f t="shared" si="4"/>
        <v>0</v>
      </c>
    </row>
    <row r="7" spans="1:8" x14ac:dyDescent="0.25">
      <c r="A7">
        <v>3000</v>
      </c>
      <c r="B7">
        <f>2*A7/'Radar Inputs'!$B$2*1000000</f>
        <v>20</v>
      </c>
      <c r="C7">
        <f>'Radar Inputs'!$B$2*B7/1000000/2</f>
        <v>3000</v>
      </c>
      <c r="D7">
        <f t="shared" si="0"/>
        <v>1.2345679012345678E-2</v>
      </c>
      <c r="E7">
        <f t="shared" si="1"/>
        <v>-19.084850188786497</v>
      </c>
      <c r="F7">
        <f t="shared" si="2"/>
        <v>-20</v>
      </c>
      <c r="G7" t="str">
        <f t="shared" si="3"/>
        <v>Above Threshold</v>
      </c>
      <c r="H7">
        <f t="shared" si="4"/>
        <v>0</v>
      </c>
    </row>
    <row r="8" spans="1:8" x14ac:dyDescent="0.25">
      <c r="A8">
        <v>3500</v>
      </c>
      <c r="B8">
        <f>2*A8/'Radar Inputs'!$B$2*1000000</f>
        <v>23.333333333333332</v>
      </c>
      <c r="C8">
        <f>'Radar Inputs'!$B$2*B8/1000000/2</f>
        <v>3500</v>
      </c>
      <c r="D8">
        <f t="shared" si="0"/>
        <v>6.6638900458142426E-3</v>
      </c>
      <c r="E8">
        <f t="shared" si="1"/>
        <v>-21.762721774011027</v>
      </c>
      <c r="F8">
        <f t="shared" si="2"/>
        <v>-20</v>
      </c>
      <c r="G8" t="str">
        <f t="shared" si="3"/>
        <v>Below Threshold</v>
      </c>
      <c r="H8">
        <f t="shared" si="4"/>
        <v>0</v>
      </c>
    </row>
    <row r="9" spans="1:8" x14ac:dyDescent="0.25">
      <c r="A9">
        <v>4000</v>
      </c>
      <c r="B9">
        <f>2*A9/'Radar Inputs'!$B$2*1000000</f>
        <v>26.666666666666668</v>
      </c>
      <c r="C9">
        <f>'Radar Inputs'!$B$2*B9/1000000/2</f>
        <v>4000</v>
      </c>
      <c r="D9">
        <f t="shared" si="0"/>
        <v>3.90625E-3</v>
      </c>
      <c r="E9">
        <f t="shared" si="1"/>
        <v>-24.082399653118497</v>
      </c>
      <c r="F9">
        <f t="shared" si="2"/>
        <v>-20</v>
      </c>
      <c r="G9" t="str">
        <f t="shared" si="3"/>
        <v>Below Threshold</v>
      </c>
      <c r="H9">
        <f t="shared" si="4"/>
        <v>0</v>
      </c>
    </row>
    <row r="10" spans="1:8" x14ac:dyDescent="0.25">
      <c r="A10">
        <v>4500</v>
      </c>
      <c r="B10">
        <f>2*A10/'Radar Inputs'!$B$2*1000000</f>
        <v>30</v>
      </c>
      <c r="C10">
        <f>'Radar Inputs'!$B$2*B10/1000000/2</f>
        <v>4500</v>
      </c>
      <c r="D10">
        <f t="shared" si="0"/>
        <v>2.4386526444139609E-3</v>
      </c>
      <c r="E10">
        <f t="shared" si="1"/>
        <v>-26.128500551013751</v>
      </c>
      <c r="F10">
        <f t="shared" si="2"/>
        <v>-20</v>
      </c>
      <c r="G10" t="str">
        <f t="shared" si="3"/>
        <v>Below Threshold</v>
      </c>
      <c r="H10">
        <f t="shared" si="4"/>
        <v>0</v>
      </c>
    </row>
    <row r="11" spans="1:8" x14ac:dyDescent="0.25">
      <c r="A11">
        <v>5000</v>
      </c>
      <c r="B11">
        <f>2*A11/'Radar Inputs'!$B$2*1000000</f>
        <v>33.333333333333336</v>
      </c>
      <c r="C11">
        <f>'Radar Inputs'!$B$2*B11/1000000/2</f>
        <v>5000</v>
      </c>
      <c r="D11">
        <f t="shared" si="0"/>
        <v>1.6000000000000007E-3</v>
      </c>
      <c r="E11">
        <f t="shared" si="1"/>
        <v>-27.95880017344075</v>
      </c>
      <c r="F11">
        <f t="shared" si="2"/>
        <v>-20</v>
      </c>
      <c r="G11" t="str">
        <f t="shared" si="3"/>
        <v>Below Threshold</v>
      </c>
      <c r="H11">
        <f t="shared" si="4"/>
        <v>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opLeftCell="D1" workbookViewId="0">
      <selection activeCell="K2" sqref="K2"/>
    </sheetView>
  </sheetViews>
  <sheetFormatPr defaultRowHeight="15" x14ac:dyDescent="0.25"/>
  <cols>
    <col min="1" max="1" width="13.140625" customWidth="1"/>
    <col min="2" max="2" width="21.28515625" customWidth="1"/>
    <col min="3" max="3" width="23.42578125" customWidth="1"/>
    <col min="4" max="4" width="27.7109375" customWidth="1"/>
    <col min="5" max="5" width="18.5703125" customWidth="1"/>
    <col min="6" max="6" width="14.140625" customWidth="1"/>
    <col min="7" max="7" width="16.5703125" customWidth="1"/>
    <col min="8" max="8" width="23.28515625" customWidth="1"/>
    <col min="9" max="9" width="18.7109375" customWidth="1"/>
    <col min="10" max="10" width="22.5703125" customWidth="1"/>
    <col min="11" max="11" width="16.140625" customWidth="1"/>
  </cols>
  <sheetData>
    <row r="1" spans="1:11" x14ac:dyDescent="0.25">
      <c r="A1" s="1" t="s">
        <v>10</v>
      </c>
      <c r="B1" s="1" t="s">
        <v>66</v>
      </c>
      <c r="C1" s="1" t="s">
        <v>67</v>
      </c>
      <c r="D1" s="1" t="s">
        <v>68</v>
      </c>
      <c r="E1" s="1" t="s">
        <v>63</v>
      </c>
      <c r="F1" s="1" t="s">
        <v>69</v>
      </c>
      <c r="G1" s="1" t="s">
        <v>17</v>
      </c>
      <c r="H1" s="1" t="s">
        <v>60</v>
      </c>
      <c r="I1" s="1" t="s">
        <v>61</v>
      </c>
      <c r="J1" s="1" t="s">
        <v>46</v>
      </c>
      <c r="K1" s="1" t="s">
        <v>64</v>
      </c>
    </row>
    <row r="2" spans="1:11" x14ac:dyDescent="0.25">
      <c r="A2">
        <f>ROW()-1</f>
        <v>1</v>
      </c>
      <c r="B2">
        <f>'Radar Inputs'!$B$3</f>
        <v>3000</v>
      </c>
      <c r="C2">
        <f>2*B2/'Radar Inputs'!$B$2*1000000</f>
        <v>20</v>
      </c>
      <c r="D2">
        <f ca="1">C2+_xlfn.NORM.S.INV(RAND())*'Radar Inputs'!$B$4</f>
        <v>20.010475634302718</v>
      </c>
      <c r="E2">
        <f ca="1">'Radar Inputs'!$B$2*D2/1000000/2</f>
        <v>3001.5713451454076</v>
      </c>
      <c r="F2">
        <f ca="1">E2-B2</f>
        <v>1.5713451454075766</v>
      </c>
      <c r="G2">
        <f ca="1">ABS(F2)</f>
        <v>1.5713451454075766</v>
      </c>
      <c r="H2">
        <f ca="1">(1000/E2)^4</f>
        <v>1.2319847083221952E-2</v>
      </c>
      <c r="I2">
        <f ca="1">10*LOG10(H2)</f>
        <v>-19.093946827012239</v>
      </c>
      <c r="J2">
        <f>-20</f>
        <v>-20</v>
      </c>
      <c r="K2" t="str">
        <f ca="1">IF(I2&gt;=J2,"Above Threshold","Below Threshold")</f>
        <v>Above Threshold</v>
      </c>
    </row>
    <row r="3" spans="1:11" x14ac:dyDescent="0.25">
      <c r="A3">
        <f t="shared" ref="A3:A11" si="0">ROW()-1</f>
        <v>2</v>
      </c>
      <c r="B3">
        <f>'Radar Inputs'!$B$3</f>
        <v>3000</v>
      </c>
      <c r="C3">
        <f>2*B3/'Radar Inputs'!$B$2*1000000</f>
        <v>20</v>
      </c>
      <c r="D3">
        <f ca="1">C3+_xlfn.NORM.S.INV(RAND())*'Radar Inputs'!$B$4</f>
        <v>19.99277377076255</v>
      </c>
      <c r="E3">
        <f ca="1">'Radar Inputs'!$B$2*D3/1000000/2</f>
        <v>2998.9160656143827</v>
      </c>
      <c r="F3">
        <f t="shared" ref="F3:F11" ca="1" si="1">E3-B3</f>
        <v>-1.08393438561734</v>
      </c>
      <c r="G3">
        <f t="shared" ref="G3:G11" ca="1" si="2">ABS(F3)</f>
        <v>1.08393438561734</v>
      </c>
      <c r="H3">
        <f t="shared" ref="H3:H11" ca="1" si="3">(1000/E3)^4</f>
        <v>1.2363537682113164E-2</v>
      </c>
      <c r="I3">
        <f t="shared" ref="I3:I11" ca="1" si="4">10*LOG10(H3)</f>
        <v>-19.078572431639802</v>
      </c>
      <c r="J3">
        <f t="shared" ref="J3:J11" si="5">-20</f>
        <v>-20</v>
      </c>
      <c r="K3" t="str">
        <f t="shared" ref="K3:K11" ca="1" si="6">IF(I3&gt;=J3,"Above Threshold","Below Threshold")</f>
        <v>Above Threshold</v>
      </c>
    </row>
    <row r="4" spans="1:11" x14ac:dyDescent="0.25">
      <c r="A4">
        <f t="shared" si="0"/>
        <v>3</v>
      </c>
      <c r="B4">
        <f>'Radar Inputs'!$B$3</f>
        <v>3000</v>
      </c>
      <c r="C4">
        <f>2*B4/'Radar Inputs'!$B$2*1000000</f>
        <v>20</v>
      </c>
      <c r="D4">
        <f ca="1">C4+_xlfn.NORM.S.INV(RAND())*'Radar Inputs'!$B$4</f>
        <v>20.000995687938847</v>
      </c>
      <c r="E4">
        <f ca="1">'Radar Inputs'!$B$2*D4/1000000/2</f>
        <v>3000.1493531908268</v>
      </c>
      <c r="F4">
        <f t="shared" ca="1" si="1"/>
        <v>0.14935319082678689</v>
      </c>
      <c r="G4">
        <f t="shared" ca="1" si="2"/>
        <v>0.14935319082678689</v>
      </c>
      <c r="H4">
        <f t="shared" ca="1" si="3"/>
        <v>1.2343220829563274E-2</v>
      </c>
      <c r="I4">
        <f t="shared" ca="1" si="4"/>
        <v>-19.085715010814429</v>
      </c>
      <c r="J4">
        <f t="shared" si="5"/>
        <v>-20</v>
      </c>
      <c r="K4" t="str">
        <f t="shared" ca="1" si="6"/>
        <v>Above Threshold</v>
      </c>
    </row>
    <row r="5" spans="1:11" x14ac:dyDescent="0.25">
      <c r="A5">
        <f t="shared" si="0"/>
        <v>4</v>
      </c>
      <c r="B5">
        <f>'Radar Inputs'!$B$3</f>
        <v>3000</v>
      </c>
      <c r="C5">
        <f>2*B5/'Radar Inputs'!$B$2*1000000</f>
        <v>20</v>
      </c>
      <c r="D5">
        <f ca="1">C5+_xlfn.NORM.S.INV(RAND())*'Radar Inputs'!$B$4</f>
        <v>20.007883821589896</v>
      </c>
      <c r="E5">
        <f ca="1">'Radar Inputs'!$B$2*D5/1000000/2</f>
        <v>3001.1825732384846</v>
      </c>
      <c r="F5">
        <f t="shared" ca="1" si="1"/>
        <v>1.1825732384845651</v>
      </c>
      <c r="G5">
        <f t="shared" ca="1" si="2"/>
        <v>1.1825732384845651</v>
      </c>
      <c r="H5">
        <f t="shared" ca="1" si="3"/>
        <v>1.2326231954616009E-2</v>
      </c>
      <c r="I5">
        <f t="shared" ca="1" si="4"/>
        <v>-19.091696639895758</v>
      </c>
      <c r="J5">
        <f t="shared" si="5"/>
        <v>-20</v>
      </c>
      <c r="K5" t="str">
        <f t="shared" ca="1" si="6"/>
        <v>Above Threshold</v>
      </c>
    </row>
    <row r="6" spans="1:11" x14ac:dyDescent="0.25">
      <c r="A6">
        <f t="shared" si="0"/>
        <v>5</v>
      </c>
      <c r="B6">
        <f>'Radar Inputs'!$B$3</f>
        <v>3000</v>
      </c>
      <c r="C6">
        <f>2*B6/'Radar Inputs'!$B$2*1000000</f>
        <v>20</v>
      </c>
      <c r="D6">
        <f ca="1">C6+_xlfn.NORM.S.INV(RAND())*'Radar Inputs'!$B$4</f>
        <v>19.995177605547347</v>
      </c>
      <c r="E6">
        <f ca="1">'Radar Inputs'!$B$2*D6/1000000/2</f>
        <v>2999.2766408321022</v>
      </c>
      <c r="F6">
        <f t="shared" ca="1" si="1"/>
        <v>-0.72335916789779731</v>
      </c>
      <c r="G6">
        <f t="shared" ca="1" si="2"/>
        <v>0.72335916789779731</v>
      </c>
      <c r="H6">
        <f t="shared" ca="1" si="3"/>
        <v>1.2357593340224978E-2</v>
      </c>
      <c r="I6">
        <f t="shared" ca="1" si="4"/>
        <v>-19.080661005118099</v>
      </c>
      <c r="J6">
        <f t="shared" si="5"/>
        <v>-20</v>
      </c>
      <c r="K6" t="str">
        <f t="shared" ca="1" si="6"/>
        <v>Above Threshold</v>
      </c>
    </row>
    <row r="7" spans="1:11" x14ac:dyDescent="0.25">
      <c r="A7">
        <f t="shared" si="0"/>
        <v>6</v>
      </c>
      <c r="B7">
        <f>'Radar Inputs'!$B$3</f>
        <v>3000</v>
      </c>
      <c r="C7">
        <f>2*B7/'Radar Inputs'!$B$2*1000000</f>
        <v>20</v>
      </c>
      <c r="D7">
        <f ca="1">C7+_xlfn.NORM.S.INV(RAND())*'Radar Inputs'!$B$4</f>
        <v>19.99389969583487</v>
      </c>
      <c r="E7">
        <f ca="1">'Radar Inputs'!$B$2*D7/1000000/2</f>
        <v>2999.0849543752302</v>
      </c>
      <c r="F7">
        <f t="shared" ca="1" si="1"/>
        <v>-0.91504562476984574</v>
      </c>
      <c r="G7">
        <f t="shared" ca="1" si="2"/>
        <v>0.91504562476984574</v>
      </c>
      <c r="H7">
        <f t="shared" ca="1" si="3"/>
        <v>1.2360752984489375E-2</v>
      </c>
      <c r="I7">
        <f t="shared" ca="1" si="4"/>
        <v>-19.079550723662983</v>
      </c>
      <c r="J7">
        <f t="shared" si="5"/>
        <v>-20</v>
      </c>
      <c r="K7" t="str">
        <f t="shared" ca="1" si="6"/>
        <v>Above Threshold</v>
      </c>
    </row>
    <row r="8" spans="1:11" x14ac:dyDescent="0.25">
      <c r="A8">
        <f t="shared" si="0"/>
        <v>7</v>
      </c>
      <c r="B8">
        <f>'Radar Inputs'!$B$3</f>
        <v>3000</v>
      </c>
      <c r="C8">
        <f>2*B8/'Radar Inputs'!$B$2*1000000</f>
        <v>20</v>
      </c>
      <c r="D8">
        <f ca="1">C8+_xlfn.NORM.S.INV(RAND())*'Radar Inputs'!$B$4</f>
        <v>20.008664802381215</v>
      </c>
      <c r="E8">
        <f ca="1">'Radar Inputs'!$B$2*D8/1000000/2</f>
        <v>3001.2997203571827</v>
      </c>
      <c r="F8">
        <f t="shared" ca="1" si="1"/>
        <v>1.2997203571826503</v>
      </c>
      <c r="G8">
        <f t="shared" ca="1" si="2"/>
        <v>1.2997203571826503</v>
      </c>
      <c r="H8">
        <f t="shared" ca="1" si="3"/>
        <v>1.232430759097085E-2</v>
      </c>
      <c r="I8">
        <f t="shared" ca="1" si="4"/>
        <v>-19.09237471066368</v>
      </c>
      <c r="J8">
        <f t="shared" si="5"/>
        <v>-20</v>
      </c>
      <c r="K8" t="str">
        <f t="shared" ca="1" si="6"/>
        <v>Above Threshold</v>
      </c>
    </row>
    <row r="9" spans="1:11" x14ac:dyDescent="0.25">
      <c r="A9">
        <f t="shared" si="0"/>
        <v>8</v>
      </c>
      <c r="B9">
        <f>'Radar Inputs'!$B$3</f>
        <v>3000</v>
      </c>
      <c r="C9">
        <f>2*B9/'Radar Inputs'!$B$2*1000000</f>
        <v>20</v>
      </c>
      <c r="D9">
        <f ca="1">C9+_xlfn.NORM.S.INV(RAND())*'Radar Inputs'!$B$4</f>
        <v>20.003064874980225</v>
      </c>
      <c r="E9">
        <f ca="1">'Radar Inputs'!$B$2*D9/1000000/2</f>
        <v>3000.4597312470337</v>
      </c>
      <c r="F9">
        <f t="shared" ca="1" si="1"/>
        <v>0.4597312470336874</v>
      </c>
      <c r="G9">
        <f t="shared" ca="1" si="2"/>
        <v>0.4597312470336874</v>
      </c>
      <c r="H9">
        <f t="shared" ca="1" si="3"/>
        <v>1.2338114318129208E-2</v>
      </c>
      <c r="I9">
        <f t="shared" ca="1" si="4"/>
        <v>-19.087512101414241</v>
      </c>
      <c r="J9">
        <f t="shared" si="5"/>
        <v>-20</v>
      </c>
      <c r="K9" t="str">
        <f t="shared" ca="1" si="6"/>
        <v>Above Threshold</v>
      </c>
    </row>
    <row r="10" spans="1:11" x14ac:dyDescent="0.25">
      <c r="A10">
        <f t="shared" si="0"/>
        <v>9</v>
      </c>
      <c r="B10">
        <f>'Radar Inputs'!$B$3</f>
        <v>3000</v>
      </c>
      <c r="C10">
        <f>2*B10/'Radar Inputs'!$B$2*1000000</f>
        <v>20</v>
      </c>
      <c r="D10">
        <f ca="1">C10+_xlfn.NORM.S.INV(RAND())*'Radar Inputs'!$B$4</f>
        <v>19.99438401265704</v>
      </c>
      <c r="E10">
        <f ca="1">'Radar Inputs'!$B$2*D10/1000000/2</f>
        <v>2999.1576018985561</v>
      </c>
      <c r="F10">
        <f t="shared" ca="1" si="1"/>
        <v>-0.84239810144390503</v>
      </c>
      <c r="G10">
        <f t="shared" ca="1" si="2"/>
        <v>0.84239810144390503</v>
      </c>
      <c r="H10">
        <f t="shared" ca="1" si="3"/>
        <v>1.2359555387586003E-2</v>
      </c>
      <c r="I10">
        <f t="shared" ca="1" si="4"/>
        <v>-19.079971519163795</v>
      </c>
      <c r="J10">
        <f t="shared" si="5"/>
        <v>-20</v>
      </c>
      <c r="K10" t="str">
        <f t="shared" ca="1" si="6"/>
        <v>Above Threshold</v>
      </c>
    </row>
    <row r="11" spans="1:11" x14ac:dyDescent="0.25">
      <c r="A11">
        <f t="shared" si="0"/>
        <v>10</v>
      </c>
      <c r="B11">
        <f>'Radar Inputs'!$B$3</f>
        <v>3000</v>
      </c>
      <c r="C11">
        <f>2*B11/'Radar Inputs'!$B$2*1000000</f>
        <v>20</v>
      </c>
      <c r="D11">
        <f ca="1">C11+_xlfn.NORM.S.INV(RAND())*'Radar Inputs'!$B$4</f>
        <v>20.021172017570297</v>
      </c>
      <c r="E11">
        <f ca="1">'Radar Inputs'!$B$2*D11/1000000/2</f>
        <v>3003.1758026355446</v>
      </c>
      <c r="F11">
        <f t="shared" ca="1" si="1"/>
        <v>3.1758026355446418</v>
      </c>
      <c r="G11">
        <f t="shared" ca="1" si="2"/>
        <v>3.1758026355446418</v>
      </c>
      <c r="H11">
        <f t="shared" ca="1" si="3"/>
        <v>1.2293540483480232E-2</v>
      </c>
      <c r="I11">
        <f t="shared" ca="1" si="4"/>
        <v>-19.103230242734483</v>
      </c>
      <c r="J11">
        <f t="shared" si="5"/>
        <v>-20</v>
      </c>
      <c r="K11" t="str">
        <f t="shared" ca="1" si="6"/>
        <v>Above Threshold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3" sqref="C13"/>
    </sheetView>
  </sheetViews>
  <sheetFormatPr defaultRowHeight="15" x14ac:dyDescent="0.25"/>
  <cols>
    <col min="1" max="1" width="32.5703125" customWidth="1"/>
    <col min="2" max="2" width="24.85546875" customWidth="1"/>
    <col min="3" max="3" width="17.42578125" customWidth="1"/>
  </cols>
  <sheetData>
    <row r="1" spans="1:3" x14ac:dyDescent="0.25">
      <c r="A1" s="1" t="s">
        <v>18</v>
      </c>
      <c r="B1" s="1" t="s">
        <v>19</v>
      </c>
      <c r="C1" s="1" t="s">
        <v>2</v>
      </c>
    </row>
    <row r="2" spans="1:3" x14ac:dyDescent="0.25">
      <c r="A2" t="s">
        <v>70</v>
      </c>
      <c r="B2">
        <f>'Radar Inputs'!B3</f>
        <v>3000</v>
      </c>
      <c r="C2" t="s">
        <v>6</v>
      </c>
    </row>
    <row r="3" spans="1:3" x14ac:dyDescent="0.25">
      <c r="A3" t="s">
        <v>71</v>
      </c>
      <c r="B3">
        <f ca="1">AVERAGE('Integrated Noise Simulation'!E2:E11)</f>
        <v>3000.4273788534751</v>
      </c>
      <c r="C3" t="s">
        <v>6</v>
      </c>
    </row>
    <row r="4" spans="1:3" x14ac:dyDescent="0.25">
      <c r="A4" t="s">
        <v>21</v>
      </c>
      <c r="B4">
        <f ca="1">AVERAGE('Integrated Noise Simulation'!F2:F11)</f>
        <v>0.42737885347510202</v>
      </c>
      <c r="C4" t="s">
        <v>6</v>
      </c>
    </row>
    <row r="5" spans="1:3" x14ac:dyDescent="0.25">
      <c r="A5" t="s">
        <v>22</v>
      </c>
      <c r="B5">
        <f ca="1">AVERAGE('Integrated Noise Simulation'!G2:G11)</f>
        <v>1.1403263094208795</v>
      </c>
      <c r="C5" t="s">
        <v>6</v>
      </c>
    </row>
    <row r="6" spans="1:3" x14ac:dyDescent="0.25">
      <c r="A6" t="s">
        <v>27</v>
      </c>
      <c r="B6">
        <f ca="1">SQRT(SUMSQ('Integrated Noise Simulation'!F2:F11)/COUNT('Integrated Noise Simulation'!F2:F11))</f>
        <v>1.3828002352879674</v>
      </c>
      <c r="C6" t="s">
        <v>6</v>
      </c>
    </row>
    <row r="7" spans="1:3" x14ac:dyDescent="0.25">
      <c r="A7" t="s">
        <v>72</v>
      </c>
      <c r="B7">
        <f ca="1">_xlfn.STDEV.S('Integrated Noise Simulation'!F2:F11)</f>
        <v>1.3862354322708219</v>
      </c>
      <c r="C7" t="s">
        <v>6</v>
      </c>
    </row>
    <row r="8" spans="1:3" x14ac:dyDescent="0.25">
      <c r="A8" t="s">
        <v>23</v>
      </c>
      <c r="B8">
        <f ca="1">MAX('Integrated Noise Simulation'!G2:G11)</f>
        <v>3.1758026355446418</v>
      </c>
      <c r="C8" t="s">
        <v>6</v>
      </c>
    </row>
    <row r="9" spans="1:3" x14ac:dyDescent="0.25">
      <c r="A9" t="s">
        <v>73</v>
      </c>
      <c r="B9">
        <f ca="1">MIN('Integrated Noise Simulation'!E2:E11)</f>
        <v>2998.9160656143827</v>
      </c>
      <c r="C9" t="s">
        <v>6</v>
      </c>
    </row>
    <row r="10" spans="1:3" x14ac:dyDescent="0.25">
      <c r="A10" t="s">
        <v>74</v>
      </c>
      <c r="B10">
        <f ca="1">MAX('Integrated Noise Simulation'!E2:E11)</f>
        <v>3003.1758026355446</v>
      </c>
      <c r="C10" t="s">
        <v>6</v>
      </c>
    </row>
    <row r="11" spans="1:3" x14ac:dyDescent="0.25">
      <c r="A11" t="s">
        <v>75</v>
      </c>
      <c r="B11">
        <f ca="1">COUNTIF('Integrated Noise Simulation'!K2:K11,"Above Threshold")</f>
        <v>10</v>
      </c>
      <c r="C11" t="s">
        <v>77</v>
      </c>
    </row>
    <row r="12" spans="1:3" x14ac:dyDescent="0.25">
      <c r="A12" t="s">
        <v>76</v>
      </c>
      <c r="B12">
        <f ca="1">COUNTIF('Integrated Noise Simulation'!K2:K11,"Below Threshold")</f>
        <v>0</v>
      </c>
      <c r="C12" t="s">
        <v>77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12" sqref="D12"/>
    </sheetView>
  </sheetViews>
  <sheetFormatPr defaultRowHeight="15" x14ac:dyDescent="0.25"/>
  <cols>
    <col min="1" max="1" width="38.85546875" customWidth="1"/>
    <col min="2" max="2" width="14.42578125" customWidth="1"/>
    <col min="3" max="3" width="14.28515625" customWidth="1"/>
    <col min="4" max="4" width="131.28515625" customWidth="1"/>
  </cols>
  <sheetData>
    <row r="1" spans="1:4" x14ac:dyDescent="0.25">
      <c r="A1" s="1" t="s">
        <v>18</v>
      </c>
      <c r="B1" s="1" t="s">
        <v>19</v>
      </c>
      <c r="C1" s="1" t="s">
        <v>2</v>
      </c>
      <c r="D1" s="1" t="s">
        <v>78</v>
      </c>
    </row>
    <row r="2" spans="1:4" x14ac:dyDescent="0.25">
      <c r="A2" t="s">
        <v>70</v>
      </c>
      <c r="B2">
        <f>'Radar Inputs'!B3</f>
        <v>3000</v>
      </c>
      <c r="C2" t="s">
        <v>6</v>
      </c>
      <c r="D2" t="s">
        <v>114</v>
      </c>
    </row>
    <row r="3" spans="1:4" x14ac:dyDescent="0.25">
      <c r="A3" t="s">
        <v>71</v>
      </c>
      <c r="B3">
        <f ca="1">AVERAGE('Integrated Noise Simulation'!E2:E11)</f>
        <v>3000.4273788534751</v>
      </c>
      <c r="C3" t="s">
        <v>6</v>
      </c>
      <c r="D3" t="s">
        <v>115</v>
      </c>
    </row>
    <row r="4" spans="1:4" x14ac:dyDescent="0.25">
      <c r="A4" t="s">
        <v>79</v>
      </c>
      <c r="B4">
        <f ca="1">AVERAGE('Integrated Noise Simulation'!F2:F11)</f>
        <v>0.42737885347510202</v>
      </c>
      <c r="C4" t="s">
        <v>6</v>
      </c>
      <c r="D4" t="s">
        <v>116</v>
      </c>
    </row>
    <row r="5" spans="1:4" x14ac:dyDescent="0.25">
      <c r="A5" t="s">
        <v>80</v>
      </c>
      <c r="B5">
        <f ca="1">AVERAGE('Integrated Noise Simulation'!G2:G11)</f>
        <v>1.1403263094208795</v>
      </c>
      <c r="C5" t="s">
        <v>6</v>
      </c>
      <c r="D5" t="s">
        <v>117</v>
      </c>
    </row>
    <row r="6" spans="1:4" x14ac:dyDescent="0.25">
      <c r="A6" t="s">
        <v>81</v>
      </c>
      <c r="B6">
        <f ca="1">SQRT(SUMSQ('Integrated Noise Simulation'!F2:F11)/COUNT('Integrated Noise Simulation'!F2:F11))</f>
        <v>1.3828002352879674</v>
      </c>
      <c r="C6" t="s">
        <v>6</v>
      </c>
      <c r="D6" t="s">
        <v>119</v>
      </c>
    </row>
    <row r="7" spans="1:4" x14ac:dyDescent="0.25">
      <c r="A7" t="s">
        <v>72</v>
      </c>
      <c r="B7">
        <f ca="1">_xlfn.STDEV.S('Integrated Noise Simulation'!F2:F11)</f>
        <v>1.3862354322708219</v>
      </c>
      <c r="C7" t="s">
        <v>6</v>
      </c>
      <c r="D7" t="s">
        <v>118</v>
      </c>
    </row>
    <row r="8" spans="1:4" x14ac:dyDescent="0.25">
      <c r="A8" t="s">
        <v>23</v>
      </c>
      <c r="B8">
        <f ca="1">MAX('Integrated Noise Simulation'!G2:G11)</f>
        <v>3.1758026355446418</v>
      </c>
      <c r="C8" t="s">
        <v>6</v>
      </c>
      <c r="D8" t="s">
        <v>120</v>
      </c>
    </row>
    <row r="9" spans="1:4" x14ac:dyDescent="0.25">
      <c r="A9" t="s">
        <v>73</v>
      </c>
      <c r="B9">
        <f ca="1">MIN('Integrated Noise Simulation'!E2:E11)</f>
        <v>2998.9160656143827</v>
      </c>
      <c r="C9" t="s">
        <v>6</v>
      </c>
      <c r="D9" t="s">
        <v>121</v>
      </c>
    </row>
    <row r="10" spans="1:4" x14ac:dyDescent="0.25">
      <c r="A10" t="s">
        <v>74</v>
      </c>
      <c r="B10">
        <f ca="1">MAX('Integrated Noise Simulation'!E2:E11)</f>
        <v>3003.1758026355446</v>
      </c>
      <c r="C10" t="s">
        <v>6</v>
      </c>
      <c r="D10" t="s">
        <v>122</v>
      </c>
    </row>
    <row r="11" spans="1:4" x14ac:dyDescent="0.25">
      <c r="A11" t="s">
        <v>82</v>
      </c>
      <c r="B11">
        <f ca="1">COUNTIF('Integrated Noise Simulation'!K2:K11,"Above Threshold")</f>
        <v>10</v>
      </c>
      <c r="C11" t="s">
        <v>77</v>
      </c>
      <c r="D11" t="s">
        <v>123</v>
      </c>
    </row>
    <row r="12" spans="1:4" x14ac:dyDescent="0.25">
      <c r="A12" t="s">
        <v>83</v>
      </c>
      <c r="B12">
        <f ca="1">COUNTIF('Integrated Noise Simulation'!K2:K11,"Below Threshold")</f>
        <v>0</v>
      </c>
      <c r="C12" t="s">
        <v>77</v>
      </c>
      <c r="D12" t="s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H2" sqref="H2:H4"/>
    </sheetView>
  </sheetViews>
  <sheetFormatPr defaultRowHeight="15" x14ac:dyDescent="0.25"/>
  <cols>
    <col min="1" max="1" width="15.42578125" customWidth="1"/>
    <col min="2" max="2" width="23.42578125" customWidth="1"/>
    <col min="3" max="3" width="21.85546875" customWidth="1"/>
    <col min="4" max="4" width="26.28515625" customWidth="1"/>
    <col min="5" max="5" width="22.7109375" customWidth="1"/>
    <col min="6" max="6" width="23" customWidth="1"/>
    <col min="7" max="7" width="20.28515625" customWidth="1"/>
    <col min="8" max="8" width="26.5703125" customWidth="1"/>
  </cols>
  <sheetData>
    <row r="1" spans="1:8" x14ac:dyDescent="0.25">
      <c r="A1" s="1" t="s">
        <v>41</v>
      </c>
      <c r="B1" s="1" t="s">
        <v>32</v>
      </c>
      <c r="C1" s="1" t="s">
        <v>66</v>
      </c>
      <c r="D1" s="1" t="s">
        <v>84</v>
      </c>
      <c r="E1" s="1" t="s">
        <v>85</v>
      </c>
      <c r="F1" s="1" t="s">
        <v>35</v>
      </c>
      <c r="G1" s="1" t="s">
        <v>86</v>
      </c>
      <c r="H1" s="1" t="s">
        <v>87</v>
      </c>
    </row>
    <row r="2" spans="1:8" x14ac:dyDescent="0.25">
      <c r="A2" t="s">
        <v>38</v>
      </c>
      <c r="B2">
        <v>0.01</v>
      </c>
      <c r="C2">
        <f>'Radar Inputs'!$B$3</f>
        <v>3000</v>
      </c>
      <c r="D2">
        <f>C2</f>
        <v>3000</v>
      </c>
      <c r="E2">
        <f>0</f>
        <v>0</v>
      </c>
      <c r="F2">
        <f>'Radar Inputs'!$B$2*B2/1000000/2*SQRT(2/PI())</f>
        <v>1.1968268412042982</v>
      </c>
      <c r="G2">
        <f>'Radar Inputs'!$B$2*B2/1000000/2</f>
        <v>1.5</v>
      </c>
      <c r="H2">
        <f>'Radar Inputs'!$B$2*B2/1000000/2</f>
        <v>1.5</v>
      </c>
    </row>
    <row r="3" spans="1:8" x14ac:dyDescent="0.25">
      <c r="A3" t="s">
        <v>39</v>
      </c>
      <c r="B3">
        <v>0.1</v>
      </c>
      <c r="C3">
        <f>'Radar Inputs'!$B$3</f>
        <v>3000</v>
      </c>
      <c r="D3">
        <f t="shared" ref="D3:D4" si="0">C3</f>
        <v>3000</v>
      </c>
      <c r="E3">
        <f>0</f>
        <v>0</v>
      </c>
      <c r="F3">
        <f>'Radar Inputs'!$B$2*B3/1000000/2*SQRT(2/PI())</f>
        <v>11.968268412042981</v>
      </c>
      <c r="G3">
        <f>'Radar Inputs'!$B$2*B3/1000000/2</f>
        <v>15</v>
      </c>
      <c r="H3">
        <f>'Radar Inputs'!$B$2*B3/1000000/2</f>
        <v>15</v>
      </c>
    </row>
    <row r="4" spans="1:8" x14ac:dyDescent="0.25">
      <c r="A4" t="s">
        <v>40</v>
      </c>
      <c r="B4">
        <v>0.5</v>
      </c>
      <c r="C4">
        <f>'Radar Inputs'!$B$3</f>
        <v>3000</v>
      </c>
      <c r="D4">
        <f t="shared" si="0"/>
        <v>3000</v>
      </c>
      <c r="E4">
        <f>0</f>
        <v>0</v>
      </c>
      <c r="F4">
        <f>'Radar Inputs'!$B$2*B4/1000000/2*SQRT(2/PI())</f>
        <v>59.841342060214906</v>
      </c>
      <c r="G4">
        <f>'Radar Inputs'!$B$2*B4/1000000/2</f>
        <v>75</v>
      </c>
      <c r="H4">
        <f>'Radar Inputs'!$B$2*B4/1000000/2</f>
        <v>75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F3" sqref="F3"/>
    </sheetView>
  </sheetViews>
  <sheetFormatPr defaultRowHeight="15" x14ac:dyDescent="0.25"/>
  <cols>
    <col min="1" max="1" width="12.28515625" customWidth="1"/>
    <col min="2" max="2" width="32.85546875" customWidth="1"/>
    <col min="3" max="3" width="15.85546875" customWidth="1"/>
    <col min="4" max="4" width="15.28515625" customWidth="1"/>
    <col min="5" max="5" width="19.85546875" customWidth="1"/>
    <col min="6" max="6" width="87.85546875" customWidth="1"/>
  </cols>
  <sheetData>
    <row r="1" spans="1:6" x14ac:dyDescent="0.25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 x14ac:dyDescent="0.25">
      <c r="A2" t="s">
        <v>94</v>
      </c>
      <c r="B2" t="s">
        <v>95</v>
      </c>
      <c r="C2">
        <v>3000</v>
      </c>
      <c r="D2">
        <f>'Integrated Radar Model'!C7</f>
        <v>3000</v>
      </c>
      <c r="E2" t="str">
        <f>IF(ABS(D2-C2)&lt;0.001,"PASS","FAIL")</f>
        <v>PASS</v>
      </c>
      <c r="F2" t="s">
        <v>112</v>
      </c>
    </row>
    <row r="3" spans="1:6" x14ac:dyDescent="0.25">
      <c r="A3" t="s">
        <v>96</v>
      </c>
      <c r="B3" t="s">
        <v>97</v>
      </c>
      <c r="C3">
        <v>15</v>
      </c>
      <c r="D3">
        <f>'Radar Inputs'!B2*'Radar Inputs'!B4/1000000/2</f>
        <v>1.5</v>
      </c>
      <c r="E3" t="str">
        <f>IF(ABS(D3-C3)&lt;0.001,"PASS","FAIL")</f>
        <v>FAIL</v>
      </c>
      <c r="F3" t="s">
        <v>113</v>
      </c>
    </row>
    <row r="4" spans="1:6" x14ac:dyDescent="0.25">
      <c r="A4" t="s">
        <v>98</v>
      </c>
      <c r="B4" t="s">
        <v>99</v>
      </c>
      <c r="C4">
        <v>1</v>
      </c>
      <c r="D4">
        <f>(1000/1000)^4</f>
        <v>1</v>
      </c>
      <c r="E4" t="str">
        <f>IF(ABS(D4-C4)&lt;0.000001,"PASS","FAIL")</f>
        <v>PASS</v>
      </c>
      <c r="F4" t="s">
        <v>100</v>
      </c>
    </row>
    <row r="5" spans="1:6" x14ac:dyDescent="0.25">
      <c r="A5" t="s">
        <v>101</v>
      </c>
      <c r="B5" t="s">
        <v>102</v>
      </c>
      <c r="C5" t="s">
        <v>103</v>
      </c>
      <c r="D5" t="str">
        <f>IF(-19&gt;=20,"Above Threshold","Below Threshold")</f>
        <v>Below Threshold</v>
      </c>
      <c r="E5" t="str">
        <f>IF(D5=C5,"PASS","FAIL")</f>
        <v>FAIL</v>
      </c>
      <c r="F5" t="s">
        <v>107</v>
      </c>
    </row>
    <row r="6" spans="1:6" x14ac:dyDescent="0.25">
      <c r="A6" t="s">
        <v>104</v>
      </c>
      <c r="B6" t="s">
        <v>105</v>
      </c>
      <c r="C6" t="s">
        <v>106</v>
      </c>
      <c r="D6" t="str">
        <f>IF(-25&gt;=-20,"Above Threshold","Below Threshold")</f>
        <v>Below Threshold</v>
      </c>
      <c r="E6" t="str">
        <f>IF(D6=C6,"PASS","FAIL")</f>
        <v>PASS</v>
      </c>
      <c r="F6" t="s">
        <v>108</v>
      </c>
    </row>
    <row r="7" spans="1:6" x14ac:dyDescent="0.25">
      <c r="A7" t="s">
        <v>109</v>
      </c>
      <c r="B7" t="s">
        <v>110</v>
      </c>
      <c r="C7">
        <v>10</v>
      </c>
      <c r="D7">
        <f>COUNT('Integrated Noise Simulation'!A2:A11)</f>
        <v>10</v>
      </c>
      <c r="E7" t="str">
        <f>IF(D7=C7,"PASS","FAIL")</f>
        <v>PASS</v>
      </c>
      <c r="F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Radar Inputs</vt:lpstr>
      <vt:lpstr>Range Simulation</vt:lpstr>
      <vt:lpstr>Perfomance Analysis</vt:lpstr>
      <vt:lpstr>Noise Sensitivity</vt:lpstr>
      <vt:lpstr>Signal Detection</vt:lpstr>
      <vt:lpstr>Detection Optimisation</vt:lpstr>
      <vt:lpstr>Radar Range Power</vt:lpstr>
      <vt:lpstr>Integrated Radar Model</vt:lpstr>
      <vt:lpstr>Integrated Noise Simulation</vt:lpstr>
      <vt:lpstr>Integrated Noise Analysis</vt:lpstr>
      <vt:lpstr>Radar Perfomance Summary</vt:lpstr>
      <vt:lpstr>Scenario Comparison</vt:lpstr>
      <vt:lpstr>Radar Model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mutshidzi madavha</dc:creator>
  <cp:lastModifiedBy>mutshidzi madavha</cp:lastModifiedBy>
  <dcterms:created xsi:type="dcterms:W3CDTF">2026-09-05T09:33:48Z</dcterms:created>
  <dcterms:modified xsi:type="dcterms:W3CDTF">2026-09-05T13:30:28Z</dcterms:modified>
</cp:coreProperties>
</file>